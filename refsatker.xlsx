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.sidabutar\Documents\revisi\"/>
    </mc:Choice>
  </mc:AlternateContent>
  <xr:revisionPtr revIDLastSave="0" documentId="13_ncr:1_{340FDF84-1DA5-4E00-9DFE-2065CC45A51E}" xr6:coauthVersionLast="47" xr6:coauthVersionMax="47" xr10:uidLastSave="{00000000-0000-0000-0000-000000000000}"/>
  <bookViews>
    <workbookView xWindow="-120" yWindow="-120" windowWidth="20730" windowHeight="11040" tabRatio="462" xr2:uid="{26DAFEDA-C3F4-4976-8AE6-2CD3FDFC813F}"/>
  </bookViews>
  <sheets>
    <sheet name="revisi" sheetId="1" r:id="rId1"/>
    <sheet name="refsatker2" sheetId="2" r:id="rId2"/>
  </sheets>
  <definedNames>
    <definedName name="_xlnm._FilterDatabase" localSheetId="1" hidden="1">refsatker2!$A$1:$F$462</definedName>
    <definedName name="_xlnm._FilterDatabase" localSheetId="0" hidden="1">revisi!$A$1:$N$1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/>
  <c r="M2" i="1"/>
  <c r="L2" i="1"/>
  <c r="H2" i="1"/>
  <c r="G2" i="1"/>
  <c r="F470" i="2"/>
  <c r="F465" i="2"/>
  <c r="F466" i="2"/>
  <c r="F467" i="2"/>
  <c r="F468" i="2"/>
  <c r="F469" i="2"/>
  <c r="F464" i="2"/>
  <c r="F463" i="2"/>
  <c r="F56" i="2" l="1"/>
  <c r="F57" i="2"/>
  <c r="F58" i="2"/>
  <c r="F59" i="2"/>
  <c r="F60" i="2"/>
  <c r="F61" i="2"/>
  <c r="F62" i="2"/>
  <c r="F63" i="2"/>
  <c r="F64" i="2"/>
  <c r="F65" i="2"/>
  <c r="F374" i="2"/>
  <c r="F291" i="2"/>
  <c r="F305" i="2"/>
  <c r="F68" i="2"/>
  <c r="F130" i="2"/>
  <c r="F131" i="2"/>
  <c r="F132" i="2"/>
  <c r="F133" i="2"/>
  <c r="F349" i="2"/>
  <c r="F134" i="2"/>
  <c r="F135" i="2"/>
  <c r="F136" i="2"/>
  <c r="F137" i="2"/>
  <c r="F138" i="2"/>
  <c r="F307" i="2"/>
  <c r="F292" i="2"/>
  <c r="F3" i="2"/>
  <c r="F4" i="2"/>
  <c r="F5" i="2"/>
  <c r="F6" i="2"/>
  <c r="F348" i="2"/>
  <c r="F100" i="2"/>
  <c r="F7" i="2"/>
  <c r="F8" i="2"/>
  <c r="F9" i="2"/>
  <c r="F10" i="2"/>
  <c r="F101" i="2"/>
  <c r="F102" i="2"/>
  <c r="F103" i="2"/>
  <c r="F104" i="2"/>
  <c r="F269" i="2"/>
  <c r="F270" i="2"/>
  <c r="F69" i="2"/>
  <c r="F105" i="2"/>
  <c r="F70" i="2"/>
  <c r="F78" i="2"/>
  <c r="F109" i="2"/>
  <c r="F110" i="2"/>
  <c r="F139" i="2"/>
  <c r="F74" i="2"/>
  <c r="F75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350" i="2"/>
  <c r="F111" i="2"/>
  <c r="F271" i="2"/>
  <c r="F79" i="2"/>
  <c r="F80" i="2"/>
  <c r="F81" i="2"/>
  <c r="F82" i="2"/>
  <c r="F83" i="2"/>
  <c r="F84" i="2"/>
  <c r="F85" i="2"/>
  <c r="F112" i="2"/>
  <c r="F113" i="2"/>
  <c r="F114" i="2"/>
  <c r="F115" i="2"/>
  <c r="F116" i="2"/>
  <c r="F117" i="2"/>
  <c r="F118" i="2"/>
  <c r="F119" i="2"/>
  <c r="F376" i="2"/>
  <c r="F126" i="2"/>
  <c r="F127" i="2"/>
  <c r="F128" i="2"/>
  <c r="F107" i="2"/>
  <c r="F355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377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351" i="2"/>
  <c r="F378" i="2"/>
  <c r="F379" i="2"/>
  <c r="F380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375" i="2"/>
  <c r="F278" i="2"/>
  <c r="F279" i="2"/>
  <c r="F280" i="2"/>
  <c r="F281" i="2"/>
  <c r="F282" i="2"/>
  <c r="F283" i="2"/>
  <c r="F293" i="2"/>
  <c r="F294" i="2"/>
  <c r="F295" i="2"/>
  <c r="F296" i="2"/>
  <c r="F297" i="2"/>
  <c r="F298" i="2"/>
  <c r="F345" i="2"/>
  <c r="F354" i="2"/>
  <c r="F71" i="2"/>
  <c r="F356" i="2"/>
  <c r="F357" i="2"/>
  <c r="F86" i="2"/>
  <c r="F372" i="2"/>
  <c r="F2" i="2"/>
  <c r="F41" i="2"/>
  <c r="F42" i="2"/>
  <c r="F43" i="2"/>
  <c r="F44" i="2"/>
  <c r="F45" i="2"/>
  <c r="F46" i="2"/>
  <c r="F272" i="2"/>
  <c r="F72" i="2"/>
  <c r="F73" i="2"/>
  <c r="F120" i="2"/>
  <c r="F454" i="2"/>
  <c r="F455" i="2"/>
  <c r="F456" i="2"/>
  <c r="F87" i="2"/>
  <c r="F88" i="2"/>
  <c r="F121" i="2"/>
  <c r="F122" i="2"/>
  <c r="F123" i="2"/>
  <c r="F89" i="2"/>
  <c r="F90" i="2"/>
  <c r="F91" i="2"/>
  <c r="F308" i="2"/>
  <c r="F309" i="2"/>
  <c r="F191" i="2"/>
  <c r="F192" i="2"/>
  <c r="F193" i="2"/>
  <c r="F92" i="2"/>
  <c r="F194" i="2"/>
  <c r="F195" i="2"/>
  <c r="F196" i="2"/>
  <c r="F197" i="2"/>
  <c r="F198" i="2"/>
  <c r="F199" i="2"/>
  <c r="F200" i="2"/>
  <c r="F201" i="2"/>
  <c r="F124" i="2"/>
  <c r="F125" i="2"/>
  <c r="F273" i="2"/>
  <c r="F106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47" i="2"/>
  <c r="F48" i="2"/>
  <c r="F457" i="2"/>
  <c r="F458" i="2"/>
  <c r="F459" i="2"/>
  <c r="F214" i="2"/>
  <c r="F215" i="2"/>
  <c r="F306" i="2"/>
  <c r="F93" i="2"/>
  <c r="F299" i="2"/>
  <c r="F216" i="2"/>
  <c r="F217" i="2"/>
  <c r="F218" i="2"/>
  <c r="F219" i="2"/>
  <c r="F220" i="2"/>
  <c r="F49" i="2"/>
  <c r="F50" i="2"/>
  <c r="F51" i="2"/>
  <c r="F52" i="2"/>
  <c r="F129" i="2"/>
  <c r="F66" i="2"/>
  <c r="F67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94" i="2"/>
  <c r="F95" i="2"/>
  <c r="F284" i="2"/>
  <c r="F285" i="2"/>
  <c r="F286" i="2"/>
  <c r="F287" i="2"/>
  <c r="F288" i="2"/>
  <c r="F289" i="2"/>
  <c r="F300" i="2"/>
  <c r="F301" i="2"/>
  <c r="F302" i="2"/>
  <c r="F303" i="2"/>
  <c r="F304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58" i="2"/>
  <c r="F336" i="2"/>
  <c r="F337" i="2"/>
  <c r="F338" i="2"/>
  <c r="F359" i="2"/>
  <c r="F360" i="2"/>
  <c r="F361" i="2"/>
  <c r="F362" i="2"/>
  <c r="F363" i="2"/>
  <c r="F364" i="2"/>
  <c r="F365" i="2"/>
  <c r="F366" i="2"/>
  <c r="F367" i="2"/>
  <c r="F368" i="2"/>
  <c r="F369" i="2"/>
  <c r="F246" i="2"/>
  <c r="F247" i="2"/>
  <c r="F248" i="2"/>
  <c r="F249" i="2"/>
  <c r="F250" i="2"/>
  <c r="F251" i="2"/>
  <c r="F53" i="2"/>
  <c r="F54" i="2"/>
  <c r="F96" i="2"/>
  <c r="F371" i="2"/>
  <c r="F97" i="2"/>
  <c r="F98" i="2"/>
  <c r="F370" i="2"/>
  <c r="F346" i="2"/>
  <c r="F252" i="2"/>
  <c r="F253" i="2"/>
  <c r="F254" i="2"/>
  <c r="F255" i="2"/>
  <c r="F256" i="2"/>
  <c r="F257" i="2"/>
  <c r="F258" i="2"/>
  <c r="F99" i="2"/>
  <c r="F259" i="2"/>
  <c r="F260" i="2"/>
  <c r="F261" i="2"/>
  <c r="F262" i="2"/>
  <c r="F263" i="2"/>
  <c r="F264" i="2"/>
  <c r="F339" i="2"/>
  <c r="F340" i="2"/>
  <c r="F341" i="2"/>
  <c r="F342" i="2"/>
  <c r="F343" i="2"/>
  <c r="F344" i="2"/>
  <c r="F265" i="2"/>
  <c r="F290" i="2"/>
  <c r="F352" i="2"/>
  <c r="F76" i="2"/>
  <c r="F77" i="2"/>
  <c r="F381" i="2"/>
  <c r="F382" i="2"/>
  <c r="F353" i="2"/>
  <c r="F347" i="2"/>
  <c r="F266" i="2"/>
  <c r="F268" i="2"/>
  <c r="F385" i="2"/>
  <c r="F108" i="2"/>
  <c r="F386" i="2"/>
  <c r="F274" i="2"/>
  <c r="F275" i="2"/>
  <c r="F276" i="2"/>
  <c r="F277" i="2"/>
  <c r="F373" i="2"/>
  <c r="F267" i="2"/>
  <c r="F387" i="2"/>
  <c r="F388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389" i="2"/>
  <c r="F390" i="2"/>
  <c r="F393" i="2"/>
  <c r="F391" i="2"/>
  <c r="F392" i="2"/>
  <c r="F428" i="2"/>
  <c r="F425" i="2"/>
  <c r="F426" i="2"/>
  <c r="F427" i="2"/>
  <c r="F429" i="2"/>
  <c r="F430" i="2"/>
  <c r="F439" i="2"/>
  <c r="F431" i="2"/>
  <c r="F432" i="2"/>
  <c r="F433" i="2"/>
  <c r="F434" i="2"/>
  <c r="F435" i="2"/>
  <c r="F436" i="2"/>
  <c r="F437" i="2"/>
  <c r="F438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383" i="2"/>
  <c r="F384" i="2"/>
  <c r="F460" i="2"/>
  <c r="F461" i="2"/>
  <c r="F462" i="2"/>
  <c r="F55" i="2"/>
</calcChain>
</file>

<file path=xl/sharedStrings.xml><?xml version="1.0" encoding="utf-8"?>
<sst xmlns="http://schemas.openxmlformats.org/spreadsheetml/2006/main" count="2817" uniqueCount="998">
  <si>
    <t>No</t>
  </si>
  <si>
    <t>Revisi Ke</t>
  </si>
  <si>
    <t>Kode Satker</t>
  </si>
  <si>
    <t>KPPN</t>
  </si>
  <si>
    <t>No Surat</t>
  </si>
  <si>
    <t>Pejabat</t>
  </si>
  <si>
    <t>DS berubah atau tidak</t>
  </si>
  <si>
    <t>Kode DS</t>
  </si>
  <si>
    <t>Tembusan KL</t>
  </si>
  <si>
    <t>Dinas Peternakan dan Kesehatan Hewan Provinsi Riau</t>
  </si>
  <si>
    <t>Bappeda Provinsi Riau</t>
  </si>
  <si>
    <t>484109</t>
  </si>
  <si>
    <t>578822</t>
  </si>
  <si>
    <t>Pengadilan Negeri Dumai</t>
  </si>
  <si>
    <t>400328</t>
  </si>
  <si>
    <t>Pengadilan Negeri Rengat/Indragiri</t>
  </si>
  <si>
    <t>098860</t>
  </si>
  <si>
    <t>Pengadilan Agama Tembilahan</t>
  </si>
  <si>
    <t>402097</t>
  </si>
  <si>
    <t>Pengadilan Agama Dumai</t>
  </si>
  <si>
    <t>402623</t>
  </si>
  <si>
    <t>400327</t>
  </si>
  <si>
    <t>099216</t>
  </si>
  <si>
    <t>578823</t>
  </si>
  <si>
    <t>Pengadilan Negeri Pasir Pangaraian</t>
  </si>
  <si>
    <t>662991</t>
  </si>
  <si>
    <t>Pengadilan Agama Teluk Kuantan</t>
  </si>
  <si>
    <t>403403</t>
  </si>
  <si>
    <t>662990</t>
  </si>
  <si>
    <t>450670</t>
  </si>
  <si>
    <t>401908</t>
  </si>
  <si>
    <t>Pengadilan Negeri Teluk Kuantan</t>
  </si>
  <si>
    <t>400141</t>
  </si>
  <si>
    <t>Pengadilan Negeri Bangkinang</t>
  </si>
  <si>
    <t>402081</t>
  </si>
  <si>
    <t>Pengadilan Agama Rengat</t>
  </si>
  <si>
    <t>400142</t>
  </si>
  <si>
    <t>402098</t>
  </si>
  <si>
    <t>631999</t>
  </si>
  <si>
    <t>400493</t>
  </si>
  <si>
    <t>402082</t>
  </si>
  <si>
    <t>Balai Penerapan Standar Instrumen Pertanian Riau</t>
  </si>
  <si>
    <t>567460</t>
  </si>
  <si>
    <t>477261</t>
  </si>
  <si>
    <t>403402</t>
  </si>
  <si>
    <t>Pengadilan Tinggi Agama Pekanbaru</t>
  </si>
  <si>
    <t>402970</t>
  </si>
  <si>
    <t>402622</t>
  </si>
  <si>
    <t>402073</t>
  </si>
  <si>
    <t>477262</t>
  </si>
  <si>
    <t>632000</t>
  </si>
  <si>
    <t>402117</t>
  </si>
  <si>
    <t>402118</t>
  </si>
  <si>
    <t>098874</t>
  </si>
  <si>
    <t>099438</t>
  </si>
  <si>
    <t>Sekretariat Daerah Provinsi Riau</t>
  </si>
  <si>
    <t>099217</t>
  </si>
  <si>
    <t>632002</t>
  </si>
  <si>
    <t>437049</t>
  </si>
  <si>
    <t>Stasiun Meteorologi Japura</t>
  </si>
  <si>
    <t>632001</t>
  </si>
  <si>
    <t>SNVT Pelaksanaan Jaringan Pemanfaatan Air Sumatera III Provinsi Riau</t>
  </si>
  <si>
    <t>400492</t>
  </si>
  <si>
    <t>Perencanaan dan Pengawasan Jalan Nasional Provinsi Riau</t>
  </si>
  <si>
    <t>402124</t>
  </si>
  <si>
    <t>401937</t>
  </si>
  <si>
    <t>402132</t>
  </si>
  <si>
    <t>402133</t>
  </si>
  <si>
    <t>402123</t>
  </si>
  <si>
    <t>Lapas Terbuka Kelas III Rumbai</t>
  </si>
  <si>
    <t>Pengadilan Agama Pekanbaru</t>
  </si>
  <si>
    <t>Pengadilan Agama Bengkalis</t>
  </si>
  <si>
    <t>Pengadilan Agama Ujung Tanjung</t>
  </si>
  <si>
    <t>Pengadilan Agama Siak Sri Indrapura</t>
  </si>
  <si>
    <t>Pengadilan Agama Selat Panjang</t>
  </si>
  <si>
    <t>Pengadilan Tinggi Riau</t>
  </si>
  <si>
    <t>Pengadilan Agama Pangkalan Kerinci</t>
  </si>
  <si>
    <t>Pengadilan Negeri Tembilahan</t>
  </si>
  <si>
    <t>Pengadilan Negeri Rokan Hilir</t>
  </si>
  <si>
    <t>Pengadilan Negeri Bengkalis</t>
  </si>
  <si>
    <t>098853</t>
  </si>
  <si>
    <t>099215</t>
  </si>
  <si>
    <t>Menteri Pertahanan</t>
  </si>
  <si>
    <t>Nama Satker</t>
  </si>
  <si>
    <t>344596</t>
  </si>
  <si>
    <t>685564</t>
  </si>
  <si>
    <t>DS ND pengantar</t>
  </si>
  <si>
    <t>Dinas Pekerjaan Umum dan Penataan Ruang Provinsi Riau</t>
  </si>
  <si>
    <t>099214</t>
  </si>
  <si>
    <t>006817</t>
  </si>
  <si>
    <t>006821</t>
  </si>
  <si>
    <t>006838</t>
  </si>
  <si>
    <t>006842</t>
  </si>
  <si>
    <t>006859</t>
  </si>
  <si>
    <t>006863</t>
  </si>
  <si>
    <t>006870</t>
  </si>
  <si>
    <t>006884</t>
  </si>
  <si>
    <t>006906</t>
  </si>
  <si>
    <t>006910</t>
  </si>
  <si>
    <t>006927</t>
  </si>
  <si>
    <t>090018</t>
  </si>
  <si>
    <t>090020</t>
  </si>
  <si>
    <t>090027</t>
  </si>
  <si>
    <t>090105</t>
  </si>
  <si>
    <t>090261</t>
  </si>
  <si>
    <t>090602</t>
  </si>
  <si>
    <t>090909</t>
  </si>
  <si>
    <t>091236</t>
  </si>
  <si>
    <t>091314</t>
  </si>
  <si>
    <t>091317</t>
  </si>
  <si>
    <t>091318</t>
  </si>
  <si>
    <t>091319</t>
  </si>
  <si>
    <t>091320</t>
  </si>
  <si>
    <t>091323</t>
  </si>
  <si>
    <t>091324</t>
  </si>
  <si>
    <t>098849</t>
  </si>
  <si>
    <t>099001</t>
  </si>
  <si>
    <t>099035</t>
  </si>
  <si>
    <t>099271</t>
  </si>
  <si>
    <t>099314</t>
  </si>
  <si>
    <t>099317</t>
  </si>
  <si>
    <t>099322</t>
  </si>
  <si>
    <t>099325</t>
  </si>
  <si>
    <t>099326</t>
  </si>
  <si>
    <t>099436</t>
  </si>
  <si>
    <t>119731</t>
  </si>
  <si>
    <t>288241</t>
  </si>
  <si>
    <t>289534</t>
  </si>
  <si>
    <t>309307</t>
  </si>
  <si>
    <t>344820</t>
  </si>
  <si>
    <t>401938</t>
  </si>
  <si>
    <t>402016</t>
  </si>
  <si>
    <t>402072</t>
  </si>
  <si>
    <t>402101</t>
  </si>
  <si>
    <t>402102</t>
  </si>
  <si>
    <t>402971</t>
  </si>
  <si>
    <t>403710</t>
  </si>
  <si>
    <t>403844</t>
  </si>
  <si>
    <t>403875</t>
  </si>
  <si>
    <t>409784</t>
  </si>
  <si>
    <t>410552</t>
  </si>
  <si>
    <t>410568</t>
  </si>
  <si>
    <t>410625</t>
  </si>
  <si>
    <t>411033</t>
  </si>
  <si>
    <t>411042</t>
  </si>
  <si>
    <t>411121</t>
  </si>
  <si>
    <t>413092</t>
  </si>
  <si>
    <t>413106</t>
  </si>
  <si>
    <t>413112</t>
  </si>
  <si>
    <t>413121</t>
  </si>
  <si>
    <t>413137</t>
  </si>
  <si>
    <t>413143</t>
  </si>
  <si>
    <t>413152</t>
  </si>
  <si>
    <t>413225</t>
  </si>
  <si>
    <t>414412</t>
  </si>
  <si>
    <t>415752</t>
  </si>
  <si>
    <t>415768</t>
  </si>
  <si>
    <t>415913</t>
  </si>
  <si>
    <t>417912</t>
  </si>
  <si>
    <t>418106</t>
  </si>
  <si>
    <t>418111</t>
  </si>
  <si>
    <t>418112</t>
  </si>
  <si>
    <t>418113</t>
  </si>
  <si>
    <t>418114</t>
  </si>
  <si>
    <t>418115</t>
  </si>
  <si>
    <t>418116</t>
  </si>
  <si>
    <t>418117</t>
  </si>
  <si>
    <t>418118</t>
  </si>
  <si>
    <t>418120</t>
  </si>
  <si>
    <t>418121</t>
  </si>
  <si>
    <t>418122</t>
  </si>
  <si>
    <t>418123</t>
  </si>
  <si>
    <t>418126</t>
  </si>
  <si>
    <t>418127</t>
  </si>
  <si>
    <t>418136</t>
  </si>
  <si>
    <t>418142</t>
  </si>
  <si>
    <t>418143</t>
  </si>
  <si>
    <t>418144</t>
  </si>
  <si>
    <t>418145</t>
  </si>
  <si>
    <t>418147</t>
  </si>
  <si>
    <t>418148</t>
  </si>
  <si>
    <t>418149</t>
  </si>
  <si>
    <t>418151</t>
  </si>
  <si>
    <t>418152</t>
  </si>
  <si>
    <t>418153</t>
  </si>
  <si>
    <t>418154</t>
  </si>
  <si>
    <t>418156</t>
  </si>
  <si>
    <t>418167</t>
  </si>
  <si>
    <t>418168</t>
  </si>
  <si>
    <t>418169</t>
  </si>
  <si>
    <t>418172</t>
  </si>
  <si>
    <t>418173</t>
  </si>
  <si>
    <t>418174</t>
  </si>
  <si>
    <t>418175</t>
  </si>
  <si>
    <t>418176</t>
  </si>
  <si>
    <t>418179</t>
  </si>
  <si>
    <t>419222</t>
  </si>
  <si>
    <t>419768</t>
  </si>
  <si>
    <t>419769</t>
  </si>
  <si>
    <t>419770</t>
  </si>
  <si>
    <t>420021</t>
  </si>
  <si>
    <t>420022</t>
  </si>
  <si>
    <t>420023</t>
  </si>
  <si>
    <t>420024</t>
  </si>
  <si>
    <t>420025</t>
  </si>
  <si>
    <t>420026</t>
  </si>
  <si>
    <t>420027</t>
  </si>
  <si>
    <t>420028</t>
  </si>
  <si>
    <t>420029</t>
  </si>
  <si>
    <t>420030</t>
  </si>
  <si>
    <t>420031</t>
  </si>
  <si>
    <t>424157</t>
  </si>
  <si>
    <t>424163</t>
  </si>
  <si>
    <t>424172</t>
  </si>
  <si>
    <t>424920</t>
  </si>
  <si>
    <t>424936</t>
  </si>
  <si>
    <t>426412</t>
  </si>
  <si>
    <t>428072</t>
  </si>
  <si>
    <t>428088</t>
  </si>
  <si>
    <t>428094</t>
  </si>
  <si>
    <t>428108</t>
  </si>
  <si>
    <t>428114</t>
  </si>
  <si>
    <t>428120</t>
  </si>
  <si>
    <t>430963</t>
  </si>
  <si>
    <t>430972</t>
  </si>
  <si>
    <t>430988</t>
  </si>
  <si>
    <t>430994</t>
  </si>
  <si>
    <t>431008</t>
  </si>
  <si>
    <t>431014</t>
  </si>
  <si>
    <t>432829</t>
  </si>
  <si>
    <t>433011</t>
  </si>
  <si>
    <t>433317</t>
  </si>
  <si>
    <t>437030</t>
  </si>
  <si>
    <t>440904</t>
  </si>
  <si>
    <t>450780</t>
  </si>
  <si>
    <t>477255</t>
  </si>
  <si>
    <t>477256</t>
  </si>
  <si>
    <t>477343</t>
  </si>
  <si>
    <t>477344</t>
  </si>
  <si>
    <t>477456</t>
  </si>
  <si>
    <t>484110</t>
  </si>
  <si>
    <t>499522</t>
  </si>
  <si>
    <t>506101</t>
  </si>
  <si>
    <t>506461</t>
  </si>
  <si>
    <t>521548</t>
  </si>
  <si>
    <t>521552</t>
  </si>
  <si>
    <t>521573</t>
  </si>
  <si>
    <t>527844</t>
  </si>
  <si>
    <t>527865</t>
  </si>
  <si>
    <t>527872</t>
  </si>
  <si>
    <t>536721</t>
  </si>
  <si>
    <t>536722</t>
  </si>
  <si>
    <t>537390</t>
  </si>
  <si>
    <t>537408</t>
  </si>
  <si>
    <t>537412</t>
  </si>
  <si>
    <t>537852</t>
  </si>
  <si>
    <t>553001</t>
  </si>
  <si>
    <t>553015</t>
  </si>
  <si>
    <t>553022</t>
  </si>
  <si>
    <t>553040</t>
  </si>
  <si>
    <t>553061</t>
  </si>
  <si>
    <t>553078</t>
  </si>
  <si>
    <t>554120</t>
  </si>
  <si>
    <t>554511</t>
  </si>
  <si>
    <t>559250</t>
  </si>
  <si>
    <t>559264</t>
  </si>
  <si>
    <t>567453</t>
  </si>
  <si>
    <t>574214</t>
  </si>
  <si>
    <t>574221</t>
  </si>
  <si>
    <t>574235</t>
  </si>
  <si>
    <t>574242</t>
  </si>
  <si>
    <t>574256</t>
  </si>
  <si>
    <t>574260</t>
  </si>
  <si>
    <t>574277</t>
  </si>
  <si>
    <t>574281</t>
  </si>
  <si>
    <t>575883</t>
  </si>
  <si>
    <t>575890</t>
  </si>
  <si>
    <t>575905</t>
  </si>
  <si>
    <t>575926</t>
  </si>
  <si>
    <t>603358</t>
  </si>
  <si>
    <t>603362</t>
  </si>
  <si>
    <t>613441</t>
  </si>
  <si>
    <t>613739</t>
  </si>
  <si>
    <t>622000</t>
  </si>
  <si>
    <t>622585</t>
  </si>
  <si>
    <t>622586</t>
  </si>
  <si>
    <t>622587</t>
  </si>
  <si>
    <t>622588</t>
  </si>
  <si>
    <t>622593</t>
  </si>
  <si>
    <t>632132</t>
  </si>
  <si>
    <t>632380</t>
  </si>
  <si>
    <t>632394</t>
  </si>
  <si>
    <t>635290</t>
  </si>
  <si>
    <t>635292</t>
  </si>
  <si>
    <t>635293</t>
  </si>
  <si>
    <t>635294</t>
  </si>
  <si>
    <t>635296</t>
  </si>
  <si>
    <t>635308</t>
  </si>
  <si>
    <t>635309</t>
  </si>
  <si>
    <t>635310</t>
  </si>
  <si>
    <t>635311</t>
  </si>
  <si>
    <t>635312</t>
  </si>
  <si>
    <t>635315</t>
  </si>
  <si>
    <t>635316</t>
  </si>
  <si>
    <t>635317</t>
  </si>
  <si>
    <t>635318</t>
  </si>
  <si>
    <t>635320</t>
  </si>
  <si>
    <t>635327</t>
  </si>
  <si>
    <t>635328</t>
  </si>
  <si>
    <t>635329</t>
  </si>
  <si>
    <t>635330</t>
  </si>
  <si>
    <t>635334</t>
  </si>
  <si>
    <t>635340</t>
  </si>
  <si>
    <t>635341</t>
  </si>
  <si>
    <t>635342</t>
  </si>
  <si>
    <t>635343</t>
  </si>
  <si>
    <t>635344</t>
  </si>
  <si>
    <t>635600</t>
  </si>
  <si>
    <t>635947</t>
  </si>
  <si>
    <t>636981</t>
  </si>
  <si>
    <t>636998</t>
  </si>
  <si>
    <t>637000</t>
  </si>
  <si>
    <t>637017</t>
  </si>
  <si>
    <t>637021</t>
  </si>
  <si>
    <t>637059</t>
  </si>
  <si>
    <t>637415</t>
  </si>
  <si>
    <t>637422</t>
  </si>
  <si>
    <t>637436</t>
  </si>
  <si>
    <t>637440</t>
  </si>
  <si>
    <t>637478</t>
  </si>
  <si>
    <t>640799</t>
  </si>
  <si>
    <t>640804</t>
  </si>
  <si>
    <t>640811</t>
  </si>
  <si>
    <t>640825</t>
  </si>
  <si>
    <t>640832</t>
  </si>
  <si>
    <t>640846</t>
  </si>
  <si>
    <t>640850</t>
  </si>
  <si>
    <t>640871</t>
  </si>
  <si>
    <t>640892</t>
  </si>
  <si>
    <t>640900</t>
  </si>
  <si>
    <t>640914</t>
  </si>
  <si>
    <t>640921</t>
  </si>
  <si>
    <t>640935</t>
  </si>
  <si>
    <t>640942</t>
  </si>
  <si>
    <t>640956</t>
  </si>
  <si>
    <t>640960</t>
  </si>
  <si>
    <t>640977</t>
  </si>
  <si>
    <t>640998</t>
  </si>
  <si>
    <t>641000</t>
  </si>
  <si>
    <t>650641</t>
  </si>
  <si>
    <t>650655</t>
  </si>
  <si>
    <t>650680</t>
  </si>
  <si>
    <t>650697</t>
  </si>
  <si>
    <t>650702</t>
  </si>
  <si>
    <t>650719</t>
  </si>
  <si>
    <t>650753</t>
  </si>
  <si>
    <t>654315</t>
  </si>
  <si>
    <t>654797</t>
  </si>
  <si>
    <t>654802</t>
  </si>
  <si>
    <t>654819</t>
  </si>
  <si>
    <t>656272</t>
  </si>
  <si>
    <t>656286</t>
  </si>
  <si>
    <t>656290</t>
  </si>
  <si>
    <t>656308</t>
  </si>
  <si>
    <t>656312</t>
  </si>
  <si>
    <t>656329</t>
  </si>
  <si>
    <t>656333</t>
  </si>
  <si>
    <t>656340</t>
  </si>
  <si>
    <t>656354</t>
  </si>
  <si>
    <t>656361</t>
  </si>
  <si>
    <t>656375</t>
  </si>
  <si>
    <t>661122</t>
  </si>
  <si>
    <t>661139</t>
  </si>
  <si>
    <t>661143</t>
  </si>
  <si>
    <t>662042</t>
  </si>
  <si>
    <t>662059</t>
  </si>
  <si>
    <t>662063</t>
  </si>
  <si>
    <t>663513</t>
  </si>
  <si>
    <t>667901</t>
  </si>
  <si>
    <t>668884</t>
  </si>
  <si>
    <t>668927</t>
  </si>
  <si>
    <t>670891</t>
  </si>
  <si>
    <t>672849</t>
  </si>
  <si>
    <t>674331</t>
  </si>
  <si>
    <t>674348</t>
  </si>
  <si>
    <t>674352</t>
  </si>
  <si>
    <t>674369</t>
  </si>
  <si>
    <t>675027</t>
  </si>
  <si>
    <t>675031</t>
  </si>
  <si>
    <t>675048</t>
  </si>
  <si>
    <t>675720</t>
  </si>
  <si>
    <t>676413</t>
  </si>
  <si>
    <t>676420</t>
  </si>
  <si>
    <t>676434</t>
  </si>
  <si>
    <t>676441</t>
  </si>
  <si>
    <t>676455</t>
  </si>
  <si>
    <t>676462</t>
  </si>
  <si>
    <t>678260</t>
  </si>
  <si>
    <t>678274</t>
  </si>
  <si>
    <t>678281</t>
  </si>
  <si>
    <t>679393</t>
  </si>
  <si>
    <t>679401</t>
  </si>
  <si>
    <t>679415</t>
  </si>
  <si>
    <t>680298</t>
  </si>
  <si>
    <t>682431</t>
  </si>
  <si>
    <t>682605</t>
  </si>
  <si>
    <t>685040</t>
  </si>
  <si>
    <t>686222</t>
  </si>
  <si>
    <t>686501</t>
  </si>
  <si>
    <t>689529</t>
  </si>
  <si>
    <t>690484</t>
  </si>
  <si>
    <t>690527</t>
  </si>
  <si>
    <t>690579</t>
  </si>
  <si>
    <t>690707</t>
  </si>
  <si>
    <t>690751</t>
  </si>
  <si>
    <t>690873</t>
  </si>
  <si>
    <t>690933</t>
  </si>
  <si>
    <t>690978</t>
  </si>
  <si>
    <t>691016</t>
  </si>
  <si>
    <t>691054</t>
  </si>
  <si>
    <t>691125</t>
  </si>
  <si>
    <t>700149</t>
  </si>
  <si>
    <t>700229</t>
  </si>
  <si>
    <t>Perwakilan BPKP Provinsi Riau</t>
  </si>
  <si>
    <t>Balai Wilayah Sungai Sumatera III</t>
  </si>
  <si>
    <t>Operasi dan Pemeliharaan Sumber Daya Air Sumatera III</t>
  </si>
  <si>
    <t>SNVT Pelaksanaan Jaringan Sumber Air Sumatera III Provinsi Riau</t>
  </si>
  <si>
    <t>090058</t>
  </si>
  <si>
    <t>099403</t>
  </si>
  <si>
    <t>500154</t>
  </si>
  <si>
    <t>500155</t>
  </si>
  <si>
    <t>500156</t>
  </si>
  <si>
    <t>600082</t>
  </si>
  <si>
    <t>600083</t>
  </si>
  <si>
    <t>600084</t>
  </si>
  <si>
    <t>691187</t>
  </si>
  <si>
    <t>692012</t>
  </si>
  <si>
    <t>692052</t>
  </si>
  <si>
    <t>692307</t>
  </si>
  <si>
    <t>692308</t>
  </si>
  <si>
    <t>692309</t>
  </si>
  <si>
    <t>692310</t>
  </si>
  <si>
    <t>692311</t>
  </si>
  <si>
    <t>692312</t>
  </si>
  <si>
    <t>692313</t>
  </si>
  <si>
    <t>692314</t>
  </si>
  <si>
    <t>692315</t>
  </si>
  <si>
    <t>692316</t>
  </si>
  <si>
    <t>692317</t>
  </si>
  <si>
    <t>692484</t>
  </si>
  <si>
    <t>692507</t>
  </si>
  <si>
    <t>692519</t>
  </si>
  <si>
    <t>692537</t>
  </si>
  <si>
    <t>692639</t>
  </si>
  <si>
    <t>692651</t>
  </si>
  <si>
    <t>692675</t>
  </si>
  <si>
    <t>692676</t>
  </si>
  <si>
    <t>692677</t>
  </si>
  <si>
    <t>692781</t>
  </si>
  <si>
    <t>692794</t>
  </si>
  <si>
    <t>692819</t>
  </si>
  <si>
    <t>692820</t>
  </si>
  <si>
    <t>692821</t>
  </si>
  <si>
    <t>692822</t>
  </si>
  <si>
    <t>692859</t>
  </si>
  <si>
    <t>692861</t>
  </si>
  <si>
    <t>692879</t>
  </si>
  <si>
    <t>692957</t>
  </si>
  <si>
    <t>692961</t>
  </si>
  <si>
    <t>692999</t>
  </si>
  <si>
    <t>693032</t>
  </si>
  <si>
    <t>693066</t>
  </si>
  <si>
    <t>693100</t>
  </si>
  <si>
    <t>693134</t>
  </si>
  <si>
    <t>693200</t>
  </si>
  <si>
    <t>693241</t>
  </si>
  <si>
    <t>693279</t>
  </si>
  <si>
    <t>693345</t>
  </si>
  <si>
    <t>693425</t>
  </si>
  <si>
    <t>693505</t>
  </si>
  <si>
    <t>693515</t>
  </si>
  <si>
    <t>693533</t>
  </si>
  <si>
    <t>693550</t>
  </si>
  <si>
    <t>693586</t>
  </si>
  <si>
    <t>693618</t>
  </si>
  <si>
    <t>693646</t>
  </si>
  <si>
    <t>693653</t>
  </si>
  <si>
    <t>693696</t>
  </si>
  <si>
    <t>693705</t>
  </si>
  <si>
    <t>693757</t>
  </si>
  <si>
    <t>693806</t>
  </si>
  <si>
    <t>693841</t>
  </si>
  <si>
    <t>693877</t>
  </si>
  <si>
    <t>693878</t>
  </si>
  <si>
    <t>693990</t>
  </si>
  <si>
    <t>694029</t>
  </si>
  <si>
    <t>694084</t>
  </si>
  <si>
    <t>694122</t>
  </si>
  <si>
    <t>694184</t>
  </si>
  <si>
    <t>694186</t>
  </si>
  <si>
    <t>694271</t>
  </si>
  <si>
    <t>694380</t>
  </si>
  <si>
    <t>694611</t>
  </si>
  <si>
    <t>700274</t>
  </si>
  <si>
    <t>700275</t>
  </si>
  <si>
    <t>700276</t>
  </si>
  <si>
    <t>KODE SATKER</t>
  </si>
  <si>
    <t>NAMA SATKER</t>
  </si>
  <si>
    <t>KODE BA</t>
  </si>
  <si>
    <t>NAMA BA</t>
  </si>
  <si>
    <t>006</t>
  </si>
  <si>
    <t>KEJAKSAAN REPUBLIK INDONESIA</t>
  </si>
  <si>
    <t>092</t>
  </si>
  <si>
    <t>KEMENTERIAN PEMUDA DAN OLAH RAGA</t>
  </si>
  <si>
    <t>055</t>
  </si>
  <si>
    <t>KEMENTERIAN PERENCANAAN PEMBANGUNAN NASIONAL</t>
  </si>
  <si>
    <t>057</t>
  </si>
  <si>
    <t>PERPUSTAKAAN NASIONAL REPUBLIK INDONESIA</t>
  </si>
  <si>
    <t>010</t>
  </si>
  <si>
    <t>KEMENTERIAN DALAM  NEGERI</t>
  </si>
  <si>
    <t>025</t>
  </si>
  <si>
    <t>KEMENTERIAN AGAMA</t>
  </si>
  <si>
    <t>066</t>
  </si>
  <si>
    <t>BADAN NARKOTIKA NASIONAL</t>
  </si>
  <si>
    <t>060</t>
  </si>
  <si>
    <t>KEPOLISIAN NEGARA REPUBLIK INDONESIA</t>
  </si>
  <si>
    <t>056</t>
  </si>
  <si>
    <t>KEMENTERIAN AGRARIA DAN TATA RUANG/BPN</t>
  </si>
  <si>
    <t>005</t>
  </si>
  <si>
    <t>MAHKAMAH AGUNG</t>
  </si>
  <si>
    <t>065</t>
  </si>
  <si>
    <t>BADAN KOORDINASI PENANAMAN MODAL</t>
  </si>
  <si>
    <t>018</t>
  </si>
  <si>
    <t>KEMENTERIAN PERTANIAN</t>
  </si>
  <si>
    <t>032</t>
  </si>
  <si>
    <t>KEMENTERIAN KELAUTAN DAN PERIKANAN</t>
  </si>
  <si>
    <t>015</t>
  </si>
  <si>
    <t>KEMENTERIAN KEUANGAN</t>
  </si>
  <si>
    <t>022</t>
  </si>
  <si>
    <t>KEMENTERIAN PERHUBUNGAN</t>
  </si>
  <si>
    <t>012</t>
  </si>
  <si>
    <t>KEMENTERIAN PERTAHANAN</t>
  </si>
  <si>
    <t>107</t>
  </si>
  <si>
    <t>BADAN NASIONAL PENCARIAN DAN PERTOLONGAN (BASARNAS)</t>
  </si>
  <si>
    <t>024</t>
  </si>
  <si>
    <t>KEMENTERIAN KESEHATAN</t>
  </si>
  <si>
    <t>019</t>
  </si>
  <si>
    <t>KEMENTERIAN PERINDUSTRIAN</t>
  </si>
  <si>
    <t>075</t>
  </si>
  <si>
    <t>BADAN METEOROLOGI, KLIMATOLOGI DAN GEOFISIKA</t>
  </si>
  <si>
    <t>115</t>
  </si>
  <si>
    <t>BADAN PENGAWASAN PEMILIHAN UMUM</t>
  </si>
  <si>
    <t>104</t>
  </si>
  <si>
    <t>BADAN PERLINDUNGAN PEKERJA MIGRAN INDONESIA</t>
  </si>
  <si>
    <t>054</t>
  </si>
  <si>
    <t>BADAN PUSAT STATISTIK</t>
  </si>
  <si>
    <t>063</t>
  </si>
  <si>
    <t>BADAN PENGAWAS OBAT DAN MAKANAN</t>
  </si>
  <si>
    <t>068</t>
  </si>
  <si>
    <t>BADAN KEPENDUDUKAN DAN KELUARGA BERENCANA NASIONAL</t>
  </si>
  <si>
    <t>089</t>
  </si>
  <si>
    <t>BADAN PENGAWASAN  KEUANGAN DAN PEMBANGUNAN</t>
  </si>
  <si>
    <t>004</t>
  </si>
  <si>
    <t>BADAN PEMERIKSA KEUANGAN</t>
  </si>
  <si>
    <t>999</t>
  </si>
  <si>
    <t>BENDAHARA UMUM NEGARA</t>
  </si>
  <si>
    <t>059</t>
  </si>
  <si>
    <t>KEMENTERIAN KOMUNIKASI DAN INFORMATIKA</t>
  </si>
  <si>
    <t>076</t>
  </si>
  <si>
    <t>KOMISI PEMILIHAN UMUM</t>
  </si>
  <si>
    <t>088</t>
  </si>
  <si>
    <t>BADAN KEPEGAWAIAN NEGARA</t>
  </si>
  <si>
    <t>027</t>
  </si>
  <si>
    <t>KEMENTERIAN SOSIAL</t>
  </si>
  <si>
    <t>125</t>
  </si>
  <si>
    <t>BADAN PANGAN NASIONAL</t>
  </si>
  <si>
    <t>127</t>
  </si>
  <si>
    <t>BADAN KARANTINA INDONESIA</t>
  </si>
  <si>
    <t>090</t>
  </si>
  <si>
    <t>KEMENTERIAN PERDAGANGAN</t>
  </si>
  <si>
    <t>026</t>
  </si>
  <si>
    <t>KEMENTERIAN KETENAGAKERJAAN</t>
  </si>
  <si>
    <t>135</t>
  </si>
  <si>
    <t>KEMENTERIAN HUKUM</t>
  </si>
  <si>
    <t>137</t>
  </si>
  <si>
    <t>KEMENTERIAN IMIGRASI DAN PEMASYARAKATAN</t>
  </si>
  <si>
    <t>136</t>
  </si>
  <si>
    <t>KEMENTERIAN HAK ASASI MANUSIA</t>
  </si>
  <si>
    <t>139</t>
  </si>
  <si>
    <t>KEMENTERIAN PENDIDIKAN TINGGI, SAINS, DAN TEKNOLOGI</t>
  </si>
  <si>
    <t>138</t>
  </si>
  <si>
    <t>KEMENTERIAN PENDIDIKAN DASAR DAN MENENGAH</t>
  </si>
  <si>
    <t>144</t>
  </si>
  <si>
    <t>KEMENTERIAN LINGKUNGAN HIDUP / BADAN PENGENDALIAN LINGKUNGAN HIDUP</t>
  </si>
  <si>
    <t>143</t>
  </si>
  <si>
    <t>KEMENTERIAN KEHUTANAN</t>
  </si>
  <si>
    <t>145</t>
  </si>
  <si>
    <t>KEMENTERIAN PEKERJAAN UMUM</t>
  </si>
  <si>
    <t>151</t>
  </si>
  <si>
    <t>KEMENTERIAN DESA DAN PEMBANGUNAN  DAERAH TERTINGGAL</t>
  </si>
  <si>
    <t>116</t>
  </si>
  <si>
    <t>LEMBAGA PENYIARAN PUBLIK RADIO REPUBLIK INDONESIA</t>
  </si>
  <si>
    <t>117</t>
  </si>
  <si>
    <t>LEMBAGA PENYIARAN PUBLIK TELEVISI REPUBLIK INDONESIA</t>
  </si>
  <si>
    <t>Kejaksaan Tinggi Riau</t>
  </si>
  <si>
    <t>Kejaksaan Negeri Pekanbaru</t>
  </si>
  <si>
    <t>Kejaksaan Negeri Bengkalis</t>
  </si>
  <si>
    <t>Kejaksaan Negeri Indragiri Hulu</t>
  </si>
  <si>
    <t>Kejaksaan Negeri Indragiri Hilir</t>
  </si>
  <si>
    <t>Kejaksaan Negeri Kampar</t>
  </si>
  <si>
    <t>Kejaksaan Negeri Dumai</t>
  </si>
  <si>
    <t>Kejaksaan Negeri Kepulauan Meranti</t>
  </si>
  <si>
    <t>Kejaksaan Negeri Rokan Hulu</t>
  </si>
  <si>
    <t>Kejaksaan Negeri Siak</t>
  </si>
  <si>
    <t>Kejaksaan Negeri Kuantan Singingi</t>
  </si>
  <si>
    <t>Satuan Polisi Pamong Praja Riau</t>
  </si>
  <si>
    <t>Madrasah Aliyah Negeri 4 Kampar</t>
  </si>
  <si>
    <t>Madrasah Tsanawiyah Negeri 2 Pelalawan</t>
  </si>
  <si>
    <t>Badan Narkotika Nasional Kabupaten Kuantan Singingi</t>
  </si>
  <si>
    <t>Kantor Kementerian Agama Kabupaten Kepulauan Meranti</t>
  </si>
  <si>
    <t>Polres Kepulauan Meranti</t>
  </si>
  <si>
    <t>Kantor Pertanahan Kabupaten Kepulauan Meranti</t>
  </si>
  <si>
    <t>Pengadilan Negeri Pekanbaru</t>
  </si>
  <si>
    <t>Badan Penanggulangan Bencana Daerah Prov. Riau</t>
  </si>
  <si>
    <t>Kantor Pelayanan Pajak Pratama Pekanbaru Senapelan</t>
  </si>
  <si>
    <t>Madrasah Tsanawiyah Negeri 1 Kota Pekanbaru</t>
  </si>
  <si>
    <t>Lanal Dumai</t>
  </si>
  <si>
    <t>Lanud  Roesmin  Nurjadin</t>
  </si>
  <si>
    <t>Pengadilan Agama Bangkinang</t>
  </si>
  <si>
    <t>Pengadilan Agama Pasir Pangarayan</t>
  </si>
  <si>
    <t>Badan Narkotika Nasional Kota Dumai</t>
  </si>
  <si>
    <t>Balai Pengelola Transportasi Darat Riau</t>
  </si>
  <si>
    <t>Kantor Pelayanan Pajak Pratama Bangkinang</t>
  </si>
  <si>
    <t>Kantor Pelayanan Pajak Pratama Dumai</t>
  </si>
  <si>
    <t>Kantor Pelayanan Pajak Pratama Rengat</t>
  </si>
  <si>
    <t>Balai Kekarantinaan Kesehatan Kelas I Dumai</t>
  </si>
  <si>
    <t>Balai Kekarantinaan Kesehatan Kelas I Pekanbaru</t>
  </si>
  <si>
    <t>Stasiun Klimatologi Riau</t>
  </si>
  <si>
    <t>Kanwil Kementerian Agama Prop. Riau</t>
  </si>
  <si>
    <t>Kantor Kementerian Agama Kota Pekanbaru</t>
  </si>
  <si>
    <t>Madrasah Aliyah Negeri 2 Pekanbaru Kota Pekanbaru</t>
  </si>
  <si>
    <t>Kantor Kementerian Agama Kab. Bengkalis</t>
  </si>
  <si>
    <t>Sekretariat Bawaslu Kabupaten Siak</t>
  </si>
  <si>
    <t>Kantor Kementerian Agama Kab. Kampar</t>
  </si>
  <si>
    <t>Kantor Kementerian Agama Kab. Indragiri Hulu</t>
  </si>
  <si>
    <t>Kantor Kementerian Agama Kab. Indragiri Hilir</t>
  </si>
  <si>
    <t>Badan Narkotika Nasional Kabupaten Pelalawan</t>
  </si>
  <si>
    <t>Sekretariat Bawaslu Kabupaten Indragiri Hilir</t>
  </si>
  <si>
    <t>Sekretariat Bawaslu Kabupaten Pelalawan</t>
  </si>
  <si>
    <t>Sekretariat Bawaslu Kabupaten Kepulauan Meranti</t>
  </si>
  <si>
    <t>Madrasah Tsanawiyah Negeri 4 Bengkalis</t>
  </si>
  <si>
    <t>Madrasah Tsanawiyah Negeri 5 Bengkalis</t>
  </si>
  <si>
    <t>Madrasah Tsanawiyah Negeri 5 Rokan Hulu</t>
  </si>
  <si>
    <t>Madrasah Tsanawiyah Negeri 2 Rokan Hilir</t>
  </si>
  <si>
    <t>Madrasah Tsanawiyah Negeri 3 Rokan Hilir</t>
  </si>
  <si>
    <t>Madrasah Tsanawiyah Negeri 3 Siak</t>
  </si>
  <si>
    <t>Madrasah Tsanawiyah Negeri 3 Kuantan Singingi</t>
  </si>
  <si>
    <t>Madrasah Tsanawiyah Negeri 4 Kuantan Singingi</t>
  </si>
  <si>
    <t>Madrasah Aliyah Negeri 2 Kepulauan Meranti</t>
  </si>
  <si>
    <t>Madrasah Aliyah Negeri 3 Kota Pekanbaru</t>
  </si>
  <si>
    <t>Madrasah Aliyah Negeri 4 Kota Pekanbaru</t>
  </si>
  <si>
    <t>Uin Sulthan Syarif Kasim Riau</t>
  </si>
  <si>
    <t>Madrasah Aliyah Negeri 1 Pekanbaru Kota Pekanbaru</t>
  </si>
  <si>
    <t>Madrasah Aliyah Negeri 1 Indragiri Hilir Kab. Indragiri Hilir</t>
  </si>
  <si>
    <t>Madrasah Tsanawiyah Negeri 1 Kampar Kab. Kampar</t>
  </si>
  <si>
    <t>Madrasah Tsanawiyah Negeri 2 Indragiri Hilir Kab. Indragiri Hilir</t>
  </si>
  <si>
    <t>Balai Pelayanan Pelindungan Pekerja Migran Indonesia (Bp3Mi) Riau</t>
  </si>
  <si>
    <t>Badan Pusat Statistik Prop. Riau</t>
  </si>
  <si>
    <t>Badan Pusat Statistik Kota Pekanbaru</t>
  </si>
  <si>
    <t>Badan Pusat Statistik Kab. Bengkalis</t>
  </si>
  <si>
    <t>Badan Pusat Statistik Kab. Kampar</t>
  </si>
  <si>
    <t>Badan Pusat Statistik Kab. Indragiri Hulu</t>
  </si>
  <si>
    <t>Badan Pusat Statistik Kab. Indragiri Hilir</t>
  </si>
  <si>
    <t>Kantor Wilayah Badan Pertanahan Nasional Prop. Riau</t>
  </si>
  <si>
    <t>Kantor Pertanahan Kota Pekanbaru</t>
  </si>
  <si>
    <t>Kantor Pertanahan Kab. Kampar</t>
  </si>
  <si>
    <t>Kantor Pertanahan Kab. Bengkalis</t>
  </si>
  <si>
    <t>Kantor Pertanahan Kab. Indragiri Hulu</t>
  </si>
  <si>
    <t>Kantor Pertanahan Kab. Indragiri Hilir</t>
  </si>
  <si>
    <t>Stasiun Meteorologi Sultan Syarif Kasim Ii</t>
  </si>
  <si>
    <t>Kantor Pelayanan Pajak Madya Pekanbaru</t>
  </si>
  <si>
    <t>Pengadilan Negeri Pelalawan</t>
  </si>
  <si>
    <t>Pengadilan Negeri Siak Sri Indrapura</t>
  </si>
  <si>
    <t>Loka Kawasan Konservasi Perairan Nasional Pekanbaru</t>
  </si>
  <si>
    <t>Inspektorat Provinsi Riau</t>
  </si>
  <si>
    <t>Unit Penyelenggara Pelabuhan Kuala Gaung</t>
  </si>
  <si>
    <t>Unit Penyelenggara Pelabuhan Panipahan</t>
  </si>
  <si>
    <t>Kantor Pelayanan Perbendaharaan Negara Pekanbaru</t>
  </si>
  <si>
    <t>Kantor Pelayanan Perbendaharaan Negara Rengat</t>
  </si>
  <si>
    <t>Kantor Pelayanan Perbendaharaan Negara Dumai</t>
  </si>
  <si>
    <t>Bidkum Polda</t>
  </si>
  <si>
    <t>Bidhumas Polda</t>
  </si>
  <si>
    <t>Madrasah Tsanawiyah Negeri 1 Bengkalis Kab. Bengkalis</t>
  </si>
  <si>
    <t>Madrasah Aliyah Negeri 1 Kepulauan Meranti Kab. Kepulauan Meranti</t>
  </si>
  <si>
    <t>Madrasah Aliyah Negeri 1 Kampar Kab. Kampar</t>
  </si>
  <si>
    <t>Madrasah Tsanawiyah Negeri 1 Indragiri Hulu Kab. Indragiri Hulu</t>
  </si>
  <si>
    <t>Madrasah Tsanawiyah Negeri 1 Kepulauan Meranti Kab. Kepulauan Meranti</t>
  </si>
  <si>
    <t>Madrasah Tsanawiyah Negeri 1 Indragiri Hilir Kab. Indragiri Hilir</t>
  </si>
  <si>
    <t>Madrasah Tsanawiyah Negeri 1  Kuantan Singingi Kab. Kuantan Singingi</t>
  </si>
  <si>
    <t>Madrasah Tsanawiyah Negeri 2 Kampar Kab. Kampar</t>
  </si>
  <si>
    <t>Madrasah Tsanawiyah Negeri 3 Indragiri Hilir Kab. Indragiri Hilir</t>
  </si>
  <si>
    <t>Madrasah Aliyah Negeri 2 Indragiri Hilir Kab. Indragiri Hilir</t>
  </si>
  <si>
    <t>Madrasah Aliyah Negeri 1 Dumai Kota Dumai</t>
  </si>
  <si>
    <t>Unit Penyelenggara Pelabuhan Sungai Guntung</t>
  </si>
  <si>
    <t>Unit Penyelenggara Pelabuhan Tanjung Medang</t>
  </si>
  <si>
    <t>Madrasah Tsanawiyah Negeri 3 Rokan Hulu Kab. Rokan Hulu</t>
  </si>
  <si>
    <t>Madrasah Tsanawiyah Negeri 3 Kampar Kab. Kampar</t>
  </si>
  <si>
    <t>Madrasah Tsanawiyah Negeri 2 Rokan Hulu Kab. Rokan Hulu</t>
  </si>
  <si>
    <t>Madrasah Tsanawiyah Negeri 4 Kampar Kab. Kampar</t>
  </si>
  <si>
    <t>Madrasah Tsanawiyah Negeri 2 Bengkalis Kab. Bengkalis</t>
  </si>
  <si>
    <t>Madrasah Tsanawiyah Negeri 3 Bengkalis</t>
  </si>
  <si>
    <t>Madrasah Tsanawiyah Negeri 2 Siak Kab. Siak</t>
  </si>
  <si>
    <t>Madrasah Tsanawiyah Negeri 1 Siak Kab. Siak</t>
  </si>
  <si>
    <t>Madrasah Aliyah Negeri 1 Bengkalis Kab. Bengkalis</t>
  </si>
  <si>
    <t>Madrasah Aliyah Negeri 1 Kuantan Singingi Kab. Kuantan Singingi</t>
  </si>
  <si>
    <t>Madrasah Aliyah Negeri 1 Indragiri Hulu Kab. Indragiri Hulu</t>
  </si>
  <si>
    <t>Madrasah Aliyah Negeri 2 Kampar Kab. Kampar</t>
  </si>
  <si>
    <t>Pengadilan Tata Usaha Negara Pekan Baru</t>
  </si>
  <si>
    <t>Madrasah Tsanawiyah Negeri 2 Kepulauan Meranti Kab. Kepulauan Meranti</t>
  </si>
  <si>
    <t>Madrasah Tsanawiyah Negeri 1 Dumai Kota Dumai</t>
  </si>
  <si>
    <t>Balai Monitor Spektrum Frekuensi Radio Kelas I Pekanbaru</t>
  </si>
  <si>
    <t>Kanwil Ditjen Perbendaharaan Provinsi Riau</t>
  </si>
  <si>
    <t>Kantor Pertanahan Kota Dumai</t>
  </si>
  <si>
    <t>Kantor Kementerian Agama Kota Dumai</t>
  </si>
  <si>
    <t>Politeknik Kesehatan Riau</t>
  </si>
  <si>
    <t>Kejaksaan Negeri Rokan Hilir</t>
  </si>
  <si>
    <t>Kejaksaan Negeri Pelalawan</t>
  </si>
  <si>
    <t>Kantor Kementerian Agama Kabupaten Pelalawan</t>
  </si>
  <si>
    <t>Kantor Kementerian Agama Kabupaten Rokan Hilir</t>
  </si>
  <si>
    <t>Kantor Kementerian Agama Kabupaten Rokan Hulu</t>
  </si>
  <si>
    <t>Kantor Kementerian Agama Kabupaten Siak</t>
  </si>
  <si>
    <t>Kantor Kementerian Agama Kabupaten Kuantan Singingi</t>
  </si>
  <si>
    <t>Kantor Pelayanan Pajak Pratama Pekanbaru Tampan</t>
  </si>
  <si>
    <t>Kantor Pelayanan Pajak Pratama Bengkalis</t>
  </si>
  <si>
    <t>Badan Pusat Statistik Kab. Kuantan Singingi</t>
  </si>
  <si>
    <t>Badan Pusat Statistik Kab. Pelalawan</t>
  </si>
  <si>
    <t>Badan Pusat Statistik Kab. Siak</t>
  </si>
  <si>
    <t>Badan Pusat Statistik Kab. Rokan Hulu</t>
  </si>
  <si>
    <t>Badan Pusat Statistik Kab. Rokan Hilir</t>
  </si>
  <si>
    <t>Badan Pusat Statistik Kota Dumai</t>
  </si>
  <si>
    <t>Kantor Pertanahan Kab. Pelalawan</t>
  </si>
  <si>
    <t>Kantor Pertanahan Kab. Rokan Hulu</t>
  </si>
  <si>
    <t>Kantor Pertanahan Kab. Rokan Hilir</t>
  </si>
  <si>
    <t>Kantor Pertanahan Kab. Siak</t>
  </si>
  <si>
    <t>Kantor Pertanahan Kab. Kuantan Sangingi</t>
  </si>
  <si>
    <t>Spripim Polda Riau</t>
  </si>
  <si>
    <t>Roops Polda Riau</t>
  </si>
  <si>
    <t>Yanma Polda Riau</t>
  </si>
  <si>
    <t>Ditintelkam Polda Riau</t>
  </si>
  <si>
    <t>Ditreskrimum Polda Riau</t>
  </si>
  <si>
    <t>Ditsamapta Polda Riau</t>
  </si>
  <si>
    <t>Ditlantas Polda Riau</t>
  </si>
  <si>
    <t>Rolog Polda Riau</t>
  </si>
  <si>
    <t>Satbrimob Polda Riau</t>
  </si>
  <si>
    <t>Ditpolairud Polda Riau</t>
  </si>
  <si>
    <t>Bidkeu Polda Riau</t>
  </si>
  <si>
    <t>Biddokkes Polda Riau</t>
  </si>
  <si>
    <t>Polresta Pakanbaru</t>
  </si>
  <si>
    <t>Polres Indragiri Hulu</t>
  </si>
  <si>
    <t>Polres Dumai</t>
  </si>
  <si>
    <t>Polres Kampar</t>
  </si>
  <si>
    <t>Polres Indragiri Hilir</t>
  </si>
  <si>
    <t>Bidpropam Polda Riau</t>
  </si>
  <si>
    <t>Ditresnarkoba Polda Riau</t>
  </si>
  <si>
    <t>Polres Bengkalis</t>
  </si>
  <si>
    <t>Polres Pelalawan</t>
  </si>
  <si>
    <t>Polres Rokan Hilir</t>
  </si>
  <si>
    <t>Polres Rokan Hulu</t>
  </si>
  <si>
    <t>Polres Siak</t>
  </si>
  <si>
    <t>Polres Kuantan Singingi</t>
  </si>
  <si>
    <t>Madrasah Tsanawiyah Negeri 5 Kampar Kab. Kampar</t>
  </si>
  <si>
    <t>Madrasah Tsanawiyah Negeri 1 Rokan Hilir Kab. Rokan Hilir</t>
  </si>
  <si>
    <t>Madrasah Tsanawiyah Negeri 2  Kuantan Singingi Kab. Kuantan Singingi</t>
  </si>
  <si>
    <t>Madrasah Aliyah Negeri 2 Bengkalis Kab. Bengkalis</t>
  </si>
  <si>
    <t>Madrasah Aliyah Negeri 3 Indragiri Hilir Kab. Indragiri Hilir</t>
  </si>
  <si>
    <t>Madrasah Aliyah Negeri 3 Kampar Kab. Kampar</t>
  </si>
  <si>
    <t>Kantor Pelayanan Pajak Pratama Pangkalan Kerinci</t>
  </si>
  <si>
    <t>Madrasah Tsanawiyah Negeri 2 Pekanbaru Kota Pekanbaru</t>
  </si>
  <si>
    <t>Madrasah Tsanawiyah Negeri 6 Kampar Kab. Kampar</t>
  </si>
  <si>
    <t>Madrasah Tsanawiyah Negeri 3 Pekanbaru Kota Pekanbaru</t>
  </si>
  <si>
    <t>Madrasah Tsanawiyah Negeri 2 Dumai Kota Dumai</t>
  </si>
  <si>
    <t>Madrasah Aliyah Negeri 1 Rokan Hulu Kab. Rokan Hulu</t>
  </si>
  <si>
    <t>Madrasah Aliyah Negeri 1 Siak Kab. Siak</t>
  </si>
  <si>
    <t>Madrasah Aliyah Negeri 2 Kuantan Singingi Kab. Kuantan Singingi</t>
  </si>
  <si>
    <t>Balai Diklat Keuangan Pekanbaru</t>
  </si>
  <si>
    <t>Madrasah Tsanawiyah Negeri 9 Kampar Kab. Kampar</t>
  </si>
  <si>
    <t>Madrasah Tsanawiyah Negeri 1 Rokan Hulu Kab. Rokan Hulu</t>
  </si>
  <si>
    <t>Madrasah Tsanawiyah Negeri 4 Rokan Hulu Kab. Rokan Hulu</t>
  </si>
  <si>
    <t>Madrasah Tsanawiyah Negeri 8 Kampar Kab. Kampar</t>
  </si>
  <si>
    <t>Madrasah Tsanawiyah Negeri 1 Pelalawan</t>
  </si>
  <si>
    <t>Madrasah Tsanawiyah Negeri 7 Kampar Kab. Kampar</t>
  </si>
  <si>
    <t>Itwasda Polda Riau</t>
  </si>
  <si>
    <t>Rorena Polda Riau</t>
  </si>
  <si>
    <t>Ditbinmas Polda Riau</t>
  </si>
  <si>
    <t>Ditreskrimsus Polda Riau</t>
  </si>
  <si>
    <t>Ditpamobvit Polda Riau</t>
  </si>
  <si>
    <t>Rumkit Bhayangkara Pekanbaru</t>
  </si>
  <si>
    <t>Madrasah Aliyah Negeri 1 Rokan Hilir Kab. Rokan Hilir</t>
  </si>
  <si>
    <t>Badan Pusat Statistik Kabupaten Kepulauan Meranti</t>
  </si>
  <si>
    <t>Badan Narkotika Nasional Provinsi Riau</t>
  </si>
  <si>
    <t>Sekretariat Bawaslu Provinsi Riau</t>
  </si>
  <si>
    <t>Sekretariat Bawaslu Kota Dumai</t>
  </si>
  <si>
    <t>Badan Narkotika Nasional Kota Pekanbaru</t>
  </si>
  <si>
    <t>Kantor Wilayah Kementerian Hukum Riau</t>
  </si>
  <si>
    <t>Bapas Kelas I Pekanbaru</t>
  </si>
  <si>
    <t>Kanwil Ditjen Pemasyarakatan Riau</t>
  </si>
  <si>
    <t>Rupbasan Kelas I Pekanbaru</t>
  </si>
  <si>
    <t>Rutan Kelas I Pekanbaru</t>
  </si>
  <si>
    <t>Kantor Imigrasi Kelas I Tpi Pekanbaru</t>
  </si>
  <si>
    <t>Kantor Imigrasi Kelas I Tpi Dumai</t>
  </si>
  <si>
    <t>Kanwil Ditjen Imigrasi Riau</t>
  </si>
  <si>
    <t>Rumah Detensi Imigrasi Pekanbaru</t>
  </si>
  <si>
    <t>Kantor Wilayah Kementerian Hak Asasi Manusia Riau</t>
  </si>
  <si>
    <t>Balai Bahasa Riau</t>
  </si>
  <si>
    <t>Universitas Riau</t>
  </si>
  <si>
    <t>Politeknik Negeri Bengkalis</t>
  </si>
  <si>
    <t>Pusat Pengendalian Lingkungan Hidup Wilayah Sumatera</t>
  </si>
  <si>
    <t>Balai Pengelolaan Daerah Aliran Sungai Indragiri Rokan</t>
  </si>
  <si>
    <t>Balai Besar Konservasi Sumber Daya Alam Riau</t>
  </si>
  <si>
    <t>Balai Taman Nasional Tesso Nilo</t>
  </si>
  <si>
    <t>Balai Taman Nasional Bukit Tiga Puluh</t>
  </si>
  <si>
    <t>Sekolah Menengah Kejuruan Kehutanan Negeri Pekanbaru</t>
  </si>
  <si>
    <t>Balai Pelaksanaan Jalan Nasional Riau</t>
  </si>
  <si>
    <t>Pelaksanaan Jalan Nasional Wilayah I Provinsi Riau</t>
  </si>
  <si>
    <t>Balai Prasarana Permukiman Wilayah Riau</t>
  </si>
  <si>
    <t>Balai Pelaksana Pemilihan Jasa Konstruksi Wilayah Riau</t>
  </si>
  <si>
    <t>Dinas Kepemudaan dan Olah Raga Prov. Riau</t>
  </si>
  <si>
    <t>Dinas Perpustakaan dan Kearsipan Provinsi Riau</t>
  </si>
  <si>
    <t>STAIN Bengkalis</t>
  </si>
  <si>
    <t>MAN IC Siak</t>
  </si>
  <si>
    <t>Dinas Pangan, Tanaman Pangan dan Hortikultura Provinsi Riau</t>
  </si>
  <si>
    <t>Dinas Kelautan dan Perikanan Provinsi Riau</t>
  </si>
  <si>
    <t>Kantor UPBU Japura</t>
  </si>
  <si>
    <t>Kantor Kesyahbandaran dan Otoritas Pelabuhan Tanjung Buton</t>
  </si>
  <si>
    <t>Politeknik Kelautan dan Perikanan Dumai (Poltek Kp Dumai)</t>
  </si>
  <si>
    <t>Kantor Wilayah DJP Riau</t>
  </si>
  <si>
    <t>Dinas Penanaman Modal dan Pelayanan Terpadu Satu Pintu Provinsi Riau</t>
  </si>
  <si>
    <t>Kantor Pengawasan dan Pelayanan BC Dumai</t>
  </si>
  <si>
    <t>Kantor Pengawasan dan Pelayanan BC Pekanbaru</t>
  </si>
  <si>
    <t>Kantor Pengawasan dan Pelayanan BC Bengkalis</t>
  </si>
  <si>
    <t>Kantor Kesyahbandaran dan Otoritas Pelabuhan Dumai</t>
  </si>
  <si>
    <t>Kantor Kesyahbandaran dan Otoritas Pelabuhan Bengkalis</t>
  </si>
  <si>
    <t>Kantor Kesyahbandaran dan Otoritas Pelabuhan Bagan Siapi-Api</t>
  </si>
  <si>
    <t>Kantor Kesyahbandaran dan Otoritas Pelabuhan Selat Panjang</t>
  </si>
  <si>
    <t>Kantor Kesyahbandaran dan Otoritas Pelabuhan Kuala Cinaku</t>
  </si>
  <si>
    <t>Kantor Kesyahbandaran dan Otoritas Pelabuhan Tembilahan</t>
  </si>
  <si>
    <t>Kantor Pencarian dan Pertolongan Pekanbaru</t>
  </si>
  <si>
    <t>Balai Standardisasi dan Pelayanan Jasa Industri Pekanbaru</t>
  </si>
  <si>
    <t>Balai Besar Pengawas Obat dan Makanan Pekan Baru</t>
  </si>
  <si>
    <t>Perwakilan Badan Kependudukan dan Keluarga Berencana Nasional Provinsi Riau</t>
  </si>
  <si>
    <t>Kantor Pelayanan Kekayaan Negara dan Lelang  Dumai</t>
  </si>
  <si>
    <t>Kantor Kesyahbandaran dan Otoritas Pelabuhan  Kuala Enok</t>
  </si>
  <si>
    <t>Kantor Pelayanan Kekayaan Negara dan Lelang Pekanbaru</t>
  </si>
  <si>
    <t>Stasiun Karantina Ikan, Pengendalian Mutu dan Keamanan Hasil Perikanan  Pekanbaru</t>
  </si>
  <si>
    <t>Loka Pendidikan dan Pelatihan Keagamaan Pekanbaru</t>
  </si>
  <si>
    <t>Dinas Perindustrian, Perdagangan, Koperasi, Usaha Kecil dan Menengah Provinsi Riau</t>
  </si>
  <si>
    <t>Balai Karantina Hewan, Ikan, dan Tumbuhan Riau</t>
  </si>
  <si>
    <t>Dinas Tenaga Kerja dan Transmigrasi Provinsi Riau</t>
  </si>
  <si>
    <t>Balai Penyuluhan dan Pelatihan Kehutanan Pekanbaru</t>
  </si>
  <si>
    <t>Dinas Pekerjaan Umum, Penataan Ruang, Perumahan, Kawasan Permukiman dan Pertanahan Provinsi Riau</t>
  </si>
  <si>
    <t>Balai Pelatihan dan Pemberdayaan Masyarakat Desa dan Daerah Tertinggal Pekanbaru</t>
  </si>
  <si>
    <t>Distrik Navigasi Dumai</t>
  </si>
  <si>
    <t>Balai Kekarantinaan Kesehatan Kelas II Tembilahan</t>
  </si>
  <si>
    <t>BPK Perwakilan  Provinsi Riau</t>
  </si>
  <si>
    <t>Kantor UPBU Tuanku Tambusai</t>
  </si>
  <si>
    <t>KPPN Rengat Penyalur Dana Transfer Umum</t>
  </si>
  <si>
    <t>KPPN Pekanbaru Penyalur Dana Transfer Umum</t>
  </si>
  <si>
    <t>KPPN Dumai Penyalur Dana Transfer Umum</t>
  </si>
  <si>
    <t>KPPN Rengat Penyalur Dana Transfer Khusus</t>
  </si>
  <si>
    <t>KPPN Pekanbaru Penyalur Dana Transfer Khusus</t>
  </si>
  <si>
    <t>KPPN Dumai Penyalur Dana Transfer Khusus</t>
  </si>
  <si>
    <t>KPPN Rengat Penyalur Dana Desa, Insentif Fiskal, Otonomi Khusus dan Keistimewaan</t>
  </si>
  <si>
    <t>KPPN Pekanbaru Penyalur Dana Desa, Insentif Fiskal, Otonomi Khusus dan Keistimewaan</t>
  </si>
  <si>
    <t>KPPN Dumai Penyalur Dana Desa, Insentif Fiskal, Otonomi Khusus dan Keistimewaan</t>
  </si>
  <si>
    <t>Kanwil DJKN Riau, Sumatera Barat dan Kepulauan Riau</t>
  </si>
  <si>
    <t>RO SDM Polda Riau</t>
  </si>
  <si>
    <t>SPN Polda Riau</t>
  </si>
  <si>
    <t>Bid TIK Polda Riau</t>
  </si>
  <si>
    <t>KPU  Provinsi Riau</t>
  </si>
  <si>
    <t>KPU  Kabupaten Kuantan Singingi</t>
  </si>
  <si>
    <t>KPU  Kabupaten Indragiri Hulu</t>
  </si>
  <si>
    <t>KPU  Kabupaten Indragiri Hilir</t>
  </si>
  <si>
    <t>KPU  Kabupaten Pelalawan</t>
  </si>
  <si>
    <t>KPU  Kabupaten Kampar</t>
  </si>
  <si>
    <t>KPU  Kabupaten Rokan Hulu</t>
  </si>
  <si>
    <t>KPU  Kabupaten Bengkalis</t>
  </si>
  <si>
    <t>KPU  Kabupaten Rokan Hilir</t>
  </si>
  <si>
    <t>KPU  Kota Pekanbaru</t>
  </si>
  <si>
    <t>KPU  Kota Dumai</t>
  </si>
  <si>
    <t>KPU Kab. Kepulauan Meranti</t>
  </si>
  <si>
    <t>Kantor Kesyahbandaran dan Otoritas Pelabuhan Kelas II Pekanbaru</t>
  </si>
  <si>
    <t>Bidlabfor Tingkat II Polda Riau</t>
  </si>
  <si>
    <t>Lapas Kelas II A Pekanbaru</t>
  </si>
  <si>
    <t>Lapas Kelas II A Bengkalis</t>
  </si>
  <si>
    <t>Rutan Kelas II B Siak Sri Indrapura</t>
  </si>
  <si>
    <t>Lapas Kelas II A Bagan Siapi-Api</t>
  </si>
  <si>
    <t>Rutan Kelas II B Rengat</t>
  </si>
  <si>
    <t>Lapas Kelas II A Tembilahan</t>
  </si>
  <si>
    <t>Lapas Kelas II B Teluk Kuantan</t>
  </si>
  <si>
    <t>Lapas Kelas II B Selat Panjang</t>
  </si>
  <si>
    <t>Lapas Kelas II A Bangkinang</t>
  </si>
  <si>
    <t>Lapas Kelas II B Pasir Pangarayan</t>
  </si>
  <si>
    <t>Rutan Kelas II B Dumai</t>
  </si>
  <si>
    <t>Lembaga Pembinaan Khusus Anak Kelas II Pekanbaru</t>
  </si>
  <si>
    <t>Lapas Perempuan Kelas II A Pekanbaru</t>
  </si>
  <si>
    <t>Lapas Narkotika Kelas II B Rumbai</t>
  </si>
  <si>
    <t>Rupbasan Kelas II Bengkalis</t>
  </si>
  <si>
    <t>Rupbasan Kelas II Rengat</t>
  </si>
  <si>
    <t>Rupbasan Kelas II Bangkinang</t>
  </si>
  <si>
    <t>Kantor Imigrasi Kelas II Tpi Bengkalis</t>
  </si>
  <si>
    <t>Kantor Imigrasi Kelas II Tpi Bagan Siapiapi</t>
  </si>
  <si>
    <t>Kantor Imigrasi Kelas II Tpi Tembilahan</t>
  </si>
  <si>
    <t>Kantor Imigrasi Kelas II Tpi Selat Panjang</t>
  </si>
  <si>
    <t>Kantor Imigrasi Kelas II Tpi Siak</t>
  </si>
  <si>
    <t>Pelaksanaan Jalan Nasional Wilayah II Provinsi Riau</t>
  </si>
  <si>
    <t>KPU  Kabupaten Siak</t>
  </si>
  <si>
    <t>Kantor Regional XII Badan Kepegawaian Negara Pekanbaru</t>
  </si>
  <si>
    <t>Kantor Wilayah DJBC Riau</t>
  </si>
  <si>
    <t>Kantor Pengawasan dan Pelayanan BC Tembilahan</t>
  </si>
  <si>
    <t>Loka Pom di Kota Dumai</t>
  </si>
  <si>
    <t>Loka Pom di Kabupaten Indragiri Hulu</t>
  </si>
  <si>
    <t>Sentra "Abiseka" di Pekanbaru</t>
  </si>
  <si>
    <t>Kodim 0301/Pekanbaru</t>
  </si>
  <si>
    <t>Korem-031/Wb Dam-I/BB</t>
  </si>
  <si>
    <t>Lembaga Layanan Pendidikan Tinggi Wilayah XVII Riau</t>
  </si>
  <si>
    <t>BPMP Provinsi Riau</t>
  </si>
  <si>
    <t>BGP Provinsi Riau</t>
  </si>
  <si>
    <t>Balai Pengelolaan Hutan Lestari Wilayah III Pekanbaru</t>
  </si>
  <si>
    <t>Balai Pemantapan Kawasan Hutan Wilayah XIX Pekanbaru</t>
  </si>
  <si>
    <t>RRI Pekanbaru</t>
  </si>
  <si>
    <t>TVRI Stasiun Riau</t>
  </si>
  <si>
    <t>KEMENTERIAN PERUMAHAN DAN KAWASAN PERMUKIMAN</t>
  </si>
  <si>
    <t>Sekretaris Mahkamah Agung</t>
  </si>
  <si>
    <t>Satker Fix</t>
  </si>
  <si>
    <t>Pekanbaru</t>
  </si>
  <si>
    <t>Dumai</t>
  </si>
  <si>
    <t>Rengat</t>
  </si>
  <si>
    <t>Menteri Pertanian</t>
  </si>
  <si>
    <t>Ketua BPK RI</t>
  </si>
  <si>
    <t>Jaksa Agung RI</t>
  </si>
  <si>
    <t>Menteri Dalam Negeri</t>
  </si>
  <si>
    <t>Menteri Keuangan</t>
  </si>
  <si>
    <t>Menteri Perindustrian</t>
  </si>
  <si>
    <t>Menteri Perhubungan</t>
  </si>
  <si>
    <t>Menteri Kesehatan</t>
  </si>
  <si>
    <t>Menteri Agama</t>
  </si>
  <si>
    <t>Menteri Ketenagakerjaan</t>
  </si>
  <si>
    <t>Menteri Sosial</t>
  </si>
  <si>
    <t>Menteri Perdagangan</t>
  </si>
  <si>
    <t>Menteri Hukum</t>
  </si>
  <si>
    <t>Menteri Kehutanan</t>
  </si>
  <si>
    <t>Menteri Kelautan dan Perikanan</t>
  </si>
  <si>
    <t>Kepala BPS RI</t>
  </si>
  <si>
    <t>Kepala BNN RI</t>
  </si>
  <si>
    <t>Menteri Perencanaan Pembangunan Nasional</t>
  </si>
  <si>
    <t>Menteri Agraria dan Tata Ruang</t>
  </si>
  <si>
    <t>Menteri Komunikasi dan Digital</t>
  </si>
  <si>
    <t>Kepala Perpustakaan Nasional RI</t>
  </si>
  <si>
    <t>Kepala Kepolisian RI</t>
  </si>
  <si>
    <t>Kepala BPOM RI</t>
  </si>
  <si>
    <t>Menteri Investasi/Kepala BKPM RI</t>
  </si>
  <si>
    <t>Kepala BKKBN RI</t>
  </si>
  <si>
    <t>Kepala BMKG RI</t>
  </si>
  <si>
    <t>Ketua KPU RI</t>
  </si>
  <si>
    <t>Kepala BKN RI</t>
  </si>
  <si>
    <t>Kepala BPKP RI</t>
  </si>
  <si>
    <t>Menteri Pemuda dan Olahraga</t>
  </si>
  <si>
    <t>Kepala BP2MI</t>
  </si>
  <si>
    <t>Kepala Basarnas</t>
  </si>
  <si>
    <t>Ketua Bawaslu</t>
  </si>
  <si>
    <t>Dirut LPP RRI</t>
  </si>
  <si>
    <t>Dirut LPP TVRI</t>
  </si>
  <si>
    <t>Kepala Badan Pangan Nasional</t>
  </si>
  <si>
    <t>Kepala Badan Karantina Indonesia</t>
  </si>
  <si>
    <t>Menteri Hak Asasi Manusia</t>
  </si>
  <si>
    <t>Menteri Imigrasi dan Pemasyarakatan</t>
  </si>
  <si>
    <t>Menteri Pendidikan Dasar dan Menengah</t>
  </si>
  <si>
    <t>Menteri Pendidikan Tinggi, Sains, dan Teknologi</t>
  </si>
  <si>
    <t>Menteri Lingkungan Hidup</t>
  </si>
  <si>
    <t>Menteri Pekerjaan Umum</t>
  </si>
  <si>
    <t>Menteri Desa dan Pembangunan Daerah Tertinggal</t>
  </si>
  <si>
    <t>Pelaksanaan Cipta Karya Provinsi Riau</t>
  </si>
  <si>
    <t>691439</t>
  </si>
  <si>
    <t>Perumahan dan Kawasan Permukiman Provinsi Riau</t>
  </si>
  <si>
    <t>Menteri Perumahan dan Kawasan Permukiman</t>
  </si>
  <si>
    <t>DS RAW</t>
  </si>
  <si>
    <t>691547</t>
  </si>
  <si>
    <t>691383</t>
  </si>
  <si>
    <t>691437</t>
  </si>
  <si>
    <t>691491</t>
  </si>
  <si>
    <t>691545</t>
  </si>
  <si>
    <t>691597</t>
  </si>
  <si>
    <t>Balai Pelaksana Penyediaan Perumahan dan Kawasan Permukiman Sumatera III</t>
  </si>
  <si>
    <t>694700</t>
  </si>
  <si>
    <t>Kementerian Komunikasi dan Digital</t>
  </si>
  <si>
    <t>Kuasa Pengguna Anggaran</t>
  </si>
  <si>
    <t>Tgl Surat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</si>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</sst>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2" fillId="0" borderId="0"/>
  </cellStyleXfs>
  <cellXfs count="26">
    <xf numFmtId="0" fontId="0" fillId="0" borderId="0" xfId="0"/>
    <xf numFmtId="0" fontId="0" fillId="0" borderId="0" xfId="0" applyFill="1"/>
    <xf numFmtId="0" fontId="3" fillId="0" borderId="0" xfId="2"/>
    <xf numFmtId="0" fontId="0" fillId="0" borderId="0" xfId="0" applyFill="1" applyBorder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Fill="1"/>
    <xf numFmtId="49" fontId="0" fillId="0" borderId="0" xfId="0" applyNumberFormat="1"/>
    <xf numFmtId="49" fontId="0" fillId="0" borderId="0" xfId="0" applyNumberFormat="1" applyFill="1" applyAlignment="1">
      <alignment horizontal="right"/>
    </xf>
    <xf numFmtId="0" fontId="0" fillId="2" borderId="0" xfId="0" applyFill="1"/>
    <xf numFmtId="49" fontId="4" fillId="0" borderId="0" xfId="0" applyNumberFormat="1" applyFont="1" applyFill="1"/>
    <xf numFmtId="0" fontId="5" fillId="0" borderId="0" xfId="0" applyFont="1" applyFill="1" applyAlignment="1">
      <alignment horizontal="center"/>
    </xf>
    <xf numFmtId="49" fontId="0" fillId="3" borderId="0" xfId="0" applyNumberFormat="1" applyFill="1"/>
    <xf numFmtId="0" fontId="3" fillId="0" borderId="0" xfId="2" applyFill="1" applyAlignment="1">
      <alignment horizontal="center"/>
    </xf>
    <xf numFmtId="0" fontId="0" fillId="0" borderId="0" xfId="0" applyNumberFormat="1" applyAlignment="1">
      <alignment horizontal="center"/>
    </xf>
    <xf numFmtId="49" fontId="3" fillId="0" borderId="0" xfId="1" applyNumberFormat="1" applyFont="1" applyAlignment="1">
      <alignment horizontal="center"/>
    </xf>
    <xf numFmtId="49" fontId="0" fillId="0" borderId="0" xfId="0" applyNumberFormat="1" applyFill="1" applyBorder="1"/>
    <xf numFmtId="0" fontId="4" fillId="0" borderId="0" xfId="0" applyFont="1" applyFill="1"/>
    <xf numFmtId="49" fontId="0" fillId="4" borderId="0" xfId="0" applyNumberFormat="1" applyFill="1" applyAlignment="1">
      <alignment horizontal="right"/>
    </xf>
    <xf numFmtId="0" fontId="0" fillId="4" borderId="0" xfId="0" applyFill="1"/>
    <xf numFmtId="0" fontId="0" fillId="4" borderId="0" xfId="0" applyFill="1" applyBorder="1"/>
    <xf numFmtId="49" fontId="0" fillId="4" borderId="0" xfId="0" applyNumberFormat="1" applyFill="1" applyBorder="1"/>
    <xf numFmtId="0" fontId="4" fillId="4" borderId="0" xfId="0" applyFont="1" applyFill="1"/>
    <xf numFmtId="0" fontId="5" fillId="4" borderId="0" xfId="0" applyFont="1" applyFill="1" applyAlignment="1">
      <alignment horizontal="center"/>
    </xf>
    <xf numFmtId="49" fontId="0" fillId="4" borderId="0" xfId="0" applyNumberFormat="1" applyFill="1"/>
    <xf numFmtId="0" fontId="0" fillId="0" borderId="0" xfId="0" applyNumberFormat="1"/>
  </cellXfs>
  <cellStyles count="4">
    <cellStyle name="Comma 2" xfId="1" xr:uid="{B9E79FB5-A04E-4AD4-B0C8-C6BC290850F1}"/>
    <cellStyle name="Normal" xfId="0" builtinId="0"/>
    <cellStyle name="Normal 10" xfId="3" xr:uid="{6AB51E13-78AA-468E-8314-C519FCEA368B}"/>
    <cellStyle name="Normal 2 2 2" xfId="2" xr:uid="{CF30A2C1-15AD-48C5-AA2C-53F3BF5F38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553B-CB35-451D-A71F-1BEB8AD3831C}">
  <dimension ref="A1:O176"/>
  <sheetViews>
    <sheetView tabSelected="1" workbookViewId="0">
      <pane xSplit="3" ySplit="1" topLeftCell="H2" activePane="bottomRight" state="frozen"/>
      <selection pane="topRight" activeCell="C1" sqref="C1"/>
      <selection pane="bottomLeft" activeCell="A2" sqref="A2"/>
      <selection pane="bottomRight" activeCell="M2" sqref="M2"/>
    </sheetView>
  </sheetViews>
  <sheetFormatPr defaultRowHeight="15.75" x14ac:dyDescent="0.25"/>
  <cols>
    <col min="1" max="1" width="4.5703125" style="1" customWidth="1"/>
    <col min="2" max="2" width="8.85546875" style="8" customWidth="1"/>
    <col min="3" max="3" width="5.140625" style="1" customWidth="1"/>
    <col min="4" max="4" width="68" style="1" customWidth="1"/>
    <col min="5" max="5" width="9.140625" style="1" customWidth="1"/>
    <col min="6" max="6" width="9.140625" style="6" customWidth="1"/>
    <col min="7" max="7" width="23.28515625" style="10" customWidth="1"/>
    <col min="8" max="8" width="10.42578125" style="1" bestFit="1" customWidth="1"/>
    <col min="9" max="9" width="27" style="1" customWidth="1"/>
    <col min="10" max="10" width="15.7109375" style="8" customWidth="1"/>
    <col min="11" max="11" width="25.7109375" style="1" customWidth="1"/>
    <col min="12" max="12" width="26.85546875" style="1" customWidth="1"/>
    <col min="13" max="13" width="37" style="1" customWidth="1"/>
    <col min="14" max="14" width="8.42578125" style="11" customWidth="1"/>
    <col min="15" max="15" width="16.42578125" style="6" bestFit="1" customWidth="1"/>
    <col min="16" max="16384" width="9.140625" style="1"/>
  </cols>
  <sheetData>
    <row r="1" spans="1:14" x14ac:dyDescent="0.25">
      <c r="A1" s="1" t="s">
        <v>0</v>
      </c>
      <c r="B1" s="8" t="s">
        <v>2</v>
      </c>
      <c r="C1" s="1" t="s">
        <v>1</v>
      </c>
      <c r="D1" s="1" t="s">
        <v>83</v>
      </c>
      <c r="E1" s="1" t="s">
        <v>6</v>
      </c>
      <c r="F1" s="12" t="s">
        <v>985</v>
      </c>
      <c r="G1" s="10" t="s">
        <v>7</v>
      </c>
      <c r="H1" s="1" t="s">
        <v>3</v>
      </c>
      <c r="I1" s="1" t="s">
        <v>4</v>
      </c>
      <c r="J1" s="8" t="s">
        <v>996</v>
      </c>
      <c r="K1" s="1" t="s">
        <v>5</v>
      </c>
      <c r="L1" s="1" t="s">
        <v>8</v>
      </c>
      <c r="M1" s="1" t="s">
        <v>997</v>
      </c>
      <c r="N1" s="11" t="s">
        <v>86</v>
      </c>
    </row>
    <row r="2" spans="1:14" x14ac:dyDescent="0.25">
      <c r="A2" s="1">
        <v>1</v>
      </c>
      <c r="C2" s="9"/>
      <c r="E2" s="3"/>
      <c r="F2" s="16"/>
      <c r="G2" s="17" t="str">
        <f t="shared" ref="G2:G3" si="0">LEFT(F2,4)&amp;"-"&amp;MID(F2,5,4)&amp;"-"&amp;MID(F2,9,4)&amp;"-"&amp;RIGHT(F2,4)</f>
        <v>---</v>
      </c>
      <c r="H2" s="3" t="e">
        <f>VLOOKUP(B2,refsatker2!A:E,5,0)</f>
        <v>#N/A</v>
      </c>
      <c r="K2" s="3" t="s">
        <v>995</v>
      </c>
      <c r="L2" s="3" t="e">
        <f>VLOOKUP(B2,refsatker2!A:G,7,0)</f>
        <v>#N/A</v>
      </c>
      <c r="M2" s="1" t="e">
        <f>VLOOKUP(B2,refsatker2!A:B,2,0)</f>
        <v>#N/A</v>
      </c>
      <c r="N2" s="11" t="str">
        <f t="shared" ref="N2:N3" si="1">IF(E2="tidak berubah yaitu DS :","tidak","")</f>
        <v/>
      </c>
    </row>
    <row r="3" spans="1:14" x14ac:dyDescent="0.25">
      <c r="C3" s="9"/>
      <c r="E3" s="3"/>
      <c r="F3" s="16"/>
      <c r="G3" s="17"/>
      <c r="H3" s="3"/>
      <c r="K3" s="3"/>
      <c r="L3" s="3"/>
    </row>
    <row r="4" spans="1:14" x14ac:dyDescent="0.25">
      <c r="C4" s="9"/>
      <c r="E4" s="3"/>
      <c r="F4" s="16"/>
      <c r="G4" s="17"/>
      <c r="H4" s="3"/>
      <c r="K4" s="3"/>
      <c r="L4" s="3"/>
    </row>
    <row r="5" spans="1:14" x14ac:dyDescent="0.25">
      <c r="C5" s="9"/>
      <c r="E5" s="3"/>
      <c r="F5" s="16"/>
      <c r="G5" s="17"/>
      <c r="H5" s="3"/>
      <c r="K5" s="3"/>
      <c r="L5" s="3"/>
    </row>
    <row r="6" spans="1:14" x14ac:dyDescent="0.25">
      <c r="C6" s="9"/>
      <c r="E6" s="3"/>
      <c r="F6" s="16"/>
      <c r="G6" s="17"/>
      <c r="H6" s="3"/>
      <c r="K6" s="3"/>
      <c r="L6" s="3"/>
    </row>
    <row r="7" spans="1:14" x14ac:dyDescent="0.25">
      <c r="C7" s="9"/>
      <c r="E7" s="3"/>
      <c r="F7" s="16"/>
      <c r="G7" s="17"/>
      <c r="H7" s="3"/>
      <c r="K7" s="3"/>
      <c r="L7" s="3"/>
    </row>
    <row r="8" spans="1:14" x14ac:dyDescent="0.25">
      <c r="C8" s="9"/>
      <c r="E8" s="3"/>
      <c r="F8" s="16"/>
      <c r="G8" s="17"/>
      <c r="H8" s="3"/>
      <c r="K8" s="3"/>
      <c r="L8" s="3"/>
    </row>
    <row r="9" spans="1:14" x14ac:dyDescent="0.25">
      <c r="C9" s="9"/>
      <c r="E9" s="3"/>
      <c r="F9" s="16"/>
      <c r="G9" s="17"/>
      <c r="H9" s="3"/>
      <c r="K9" s="3"/>
      <c r="L9" s="3"/>
    </row>
    <row r="10" spans="1:14" x14ac:dyDescent="0.25">
      <c r="C10" s="9"/>
      <c r="E10" s="3"/>
      <c r="F10" s="16"/>
      <c r="G10" s="17"/>
      <c r="H10" s="3"/>
      <c r="K10" s="3"/>
      <c r="L10" s="3"/>
    </row>
    <row r="11" spans="1:14" x14ac:dyDescent="0.25">
      <c r="C11" s="9"/>
      <c r="E11" s="3"/>
      <c r="F11" s="16"/>
      <c r="G11" s="17"/>
      <c r="H11" s="3"/>
      <c r="K11" s="3"/>
      <c r="L11" s="3"/>
    </row>
    <row r="12" spans="1:14" x14ac:dyDescent="0.25">
      <c r="C12" s="9"/>
      <c r="E12" s="3"/>
      <c r="F12" s="16"/>
      <c r="G12" s="17"/>
      <c r="H12" s="3"/>
      <c r="K12" s="3"/>
      <c r="L12" s="3"/>
    </row>
    <row r="13" spans="1:14" x14ac:dyDescent="0.25">
      <c r="C13" s="9"/>
      <c r="E13" s="3"/>
      <c r="F13" s="16"/>
      <c r="G13" s="17"/>
      <c r="H13" s="3"/>
      <c r="K13" s="3"/>
      <c r="L13" s="3"/>
    </row>
    <row r="14" spans="1:14" x14ac:dyDescent="0.25">
      <c r="C14" s="9"/>
      <c r="E14" s="3"/>
      <c r="F14" s="16"/>
      <c r="G14" s="17"/>
      <c r="H14" s="3"/>
      <c r="K14" s="3"/>
      <c r="L14" s="3"/>
    </row>
    <row r="15" spans="1:14" x14ac:dyDescent="0.25">
      <c r="C15" s="9"/>
      <c r="E15" s="3"/>
      <c r="F15" s="16"/>
      <c r="G15" s="17"/>
      <c r="H15" s="3"/>
      <c r="K15" s="3"/>
      <c r="L15" s="3"/>
    </row>
    <row r="16" spans="1:14" x14ac:dyDescent="0.25">
      <c r="C16" s="9"/>
      <c r="E16" s="3"/>
      <c r="F16" s="16"/>
      <c r="G16" s="17"/>
      <c r="H16" s="3"/>
      <c r="K16" s="3"/>
      <c r="L16" s="3"/>
    </row>
    <row r="17" spans="3:12" x14ac:dyDescent="0.25">
      <c r="C17" s="9"/>
      <c r="E17" s="3"/>
      <c r="F17" s="16"/>
      <c r="G17" s="17"/>
      <c r="H17" s="3"/>
      <c r="K17" s="3"/>
      <c r="L17" s="3"/>
    </row>
    <row r="18" spans="3:12" x14ac:dyDescent="0.25">
      <c r="C18" s="9"/>
      <c r="E18" s="3"/>
      <c r="F18" s="16"/>
      <c r="G18" s="17"/>
      <c r="H18" s="3"/>
      <c r="K18" s="3"/>
      <c r="L18" s="3"/>
    </row>
    <row r="19" spans="3:12" x14ac:dyDescent="0.25">
      <c r="C19" s="9"/>
      <c r="E19" s="3"/>
      <c r="F19" s="16"/>
      <c r="G19" s="17"/>
      <c r="H19" s="3"/>
      <c r="K19" s="3"/>
      <c r="L19" s="3"/>
    </row>
    <row r="20" spans="3:12" x14ac:dyDescent="0.25">
      <c r="C20" s="9"/>
      <c r="E20" s="3"/>
      <c r="F20" s="16"/>
      <c r="G20" s="17"/>
      <c r="H20" s="3"/>
      <c r="K20" s="3"/>
      <c r="L20" s="3"/>
    </row>
    <row r="21" spans="3:12" x14ac:dyDescent="0.25">
      <c r="C21" s="9"/>
      <c r="E21" s="3"/>
      <c r="F21" s="16"/>
      <c r="G21" s="17"/>
      <c r="H21" s="3"/>
      <c r="K21" s="3"/>
      <c r="L21" s="3"/>
    </row>
    <row r="22" spans="3:12" x14ac:dyDescent="0.25">
      <c r="C22" s="9"/>
      <c r="E22" s="3"/>
      <c r="F22" s="16"/>
      <c r="G22" s="17"/>
      <c r="H22" s="3"/>
      <c r="K22" s="3"/>
      <c r="L22" s="3"/>
    </row>
    <row r="23" spans="3:12" x14ac:dyDescent="0.25">
      <c r="C23" s="9"/>
      <c r="E23" s="3"/>
      <c r="F23" s="16"/>
      <c r="G23" s="17"/>
      <c r="H23" s="3"/>
      <c r="K23" s="3"/>
      <c r="L23" s="3"/>
    </row>
    <row r="24" spans="3:12" x14ac:dyDescent="0.25">
      <c r="C24" s="9"/>
      <c r="E24" s="3"/>
      <c r="F24" s="16"/>
      <c r="G24" s="17"/>
      <c r="H24" s="3"/>
      <c r="K24" s="3"/>
      <c r="L24" s="3"/>
    </row>
    <row r="25" spans="3:12" x14ac:dyDescent="0.25">
      <c r="C25" s="9"/>
      <c r="E25" s="3"/>
      <c r="F25" s="16"/>
      <c r="G25" s="17"/>
      <c r="H25" s="3"/>
      <c r="K25" s="3"/>
      <c r="L25" s="3"/>
    </row>
    <row r="26" spans="3:12" x14ac:dyDescent="0.25">
      <c r="C26" s="9"/>
      <c r="E26" s="3"/>
      <c r="F26" s="16"/>
      <c r="G26" s="17"/>
      <c r="H26" s="3"/>
      <c r="K26" s="3"/>
      <c r="L26" s="3"/>
    </row>
    <row r="27" spans="3:12" x14ac:dyDescent="0.25">
      <c r="C27" s="9"/>
      <c r="E27" s="3"/>
      <c r="F27" s="16"/>
      <c r="G27" s="17"/>
      <c r="H27" s="3"/>
      <c r="K27" s="3"/>
      <c r="L27" s="3"/>
    </row>
    <row r="28" spans="3:12" x14ac:dyDescent="0.25">
      <c r="C28" s="9"/>
      <c r="E28" s="3"/>
      <c r="F28" s="16"/>
      <c r="G28" s="17"/>
      <c r="H28" s="3"/>
      <c r="K28" s="3"/>
      <c r="L28" s="3"/>
    </row>
    <row r="29" spans="3:12" x14ac:dyDescent="0.25">
      <c r="C29" s="9"/>
      <c r="E29" s="3"/>
      <c r="F29" s="16"/>
      <c r="G29" s="17"/>
      <c r="H29" s="3"/>
      <c r="K29" s="3"/>
      <c r="L29" s="3"/>
    </row>
    <row r="30" spans="3:12" x14ac:dyDescent="0.25">
      <c r="C30" s="9"/>
      <c r="E30" s="3"/>
      <c r="F30" s="16"/>
      <c r="G30" s="17"/>
      <c r="H30" s="3"/>
      <c r="K30" s="3"/>
      <c r="L30" s="3"/>
    </row>
    <row r="31" spans="3:12" x14ac:dyDescent="0.25">
      <c r="C31" s="9"/>
      <c r="E31" s="3"/>
      <c r="F31" s="16"/>
      <c r="G31" s="17"/>
      <c r="H31" s="3"/>
      <c r="K31" s="3"/>
      <c r="L31" s="3"/>
    </row>
    <row r="32" spans="3:12" x14ac:dyDescent="0.25">
      <c r="C32" s="9"/>
      <c r="E32" s="3"/>
      <c r="F32" s="16"/>
      <c r="G32" s="17"/>
      <c r="H32" s="3"/>
      <c r="K32" s="3"/>
      <c r="L32" s="3"/>
    </row>
    <row r="33" spans="1:15" x14ac:dyDescent="0.25">
      <c r="C33" s="9"/>
      <c r="E33" s="3"/>
      <c r="F33" s="16"/>
      <c r="G33" s="17"/>
      <c r="H33" s="3"/>
      <c r="K33" s="3"/>
      <c r="L33" s="3"/>
    </row>
    <row r="34" spans="1:15" x14ac:dyDescent="0.25">
      <c r="C34" s="9"/>
      <c r="E34" s="3"/>
      <c r="F34" s="16"/>
      <c r="G34" s="17"/>
      <c r="H34" s="3"/>
      <c r="K34" s="3"/>
      <c r="L34" s="3"/>
    </row>
    <row r="35" spans="1:15" x14ac:dyDescent="0.25">
      <c r="C35" s="9"/>
      <c r="E35" s="3"/>
      <c r="F35" s="16"/>
      <c r="G35" s="17"/>
      <c r="H35" s="3"/>
      <c r="K35" s="3"/>
      <c r="L35" s="3"/>
    </row>
    <row r="36" spans="1:15" x14ac:dyDescent="0.25">
      <c r="C36" s="9"/>
      <c r="E36" s="3"/>
      <c r="F36" s="16"/>
      <c r="G36" s="17"/>
      <c r="H36" s="3"/>
      <c r="K36" s="3"/>
      <c r="L36" s="3"/>
    </row>
    <row r="37" spans="1:15" x14ac:dyDescent="0.25">
      <c r="C37" s="9"/>
      <c r="E37" s="3"/>
      <c r="F37" s="16"/>
      <c r="G37" s="17"/>
      <c r="H37" s="3"/>
      <c r="K37" s="3"/>
      <c r="L37" s="3"/>
    </row>
    <row r="38" spans="1:15" x14ac:dyDescent="0.25">
      <c r="C38" s="9"/>
      <c r="E38" s="3"/>
      <c r="F38" s="16"/>
      <c r="G38" s="17"/>
      <c r="H38" s="3"/>
      <c r="K38" s="3"/>
      <c r="L38" s="3"/>
    </row>
    <row r="39" spans="1:15" x14ac:dyDescent="0.25">
      <c r="C39" s="9"/>
      <c r="E39" s="3"/>
      <c r="F39" s="16"/>
      <c r="G39" s="17"/>
      <c r="H39" s="3"/>
      <c r="K39" s="3"/>
      <c r="L39" s="3"/>
    </row>
    <row r="40" spans="1:15" x14ac:dyDescent="0.25">
      <c r="C40" s="9"/>
      <c r="E40" s="3"/>
      <c r="F40" s="16"/>
      <c r="G40" s="17"/>
      <c r="H40" s="3"/>
      <c r="K40" s="3"/>
      <c r="L40" s="3"/>
    </row>
    <row r="41" spans="1:15" x14ac:dyDescent="0.25">
      <c r="C41" s="9"/>
      <c r="E41" s="3"/>
      <c r="F41" s="16"/>
      <c r="G41" s="17"/>
      <c r="H41" s="3"/>
      <c r="K41" s="3"/>
      <c r="L41" s="3"/>
    </row>
    <row r="42" spans="1:15" x14ac:dyDescent="0.25">
      <c r="C42" s="9"/>
      <c r="E42" s="3"/>
      <c r="F42" s="16"/>
      <c r="G42" s="17"/>
      <c r="H42" s="3"/>
      <c r="K42" s="3"/>
      <c r="L42" s="3"/>
    </row>
    <row r="43" spans="1:15" s="19" customFormat="1" x14ac:dyDescent="0.25">
      <c r="B43" s="18"/>
      <c r="E43" s="20"/>
      <c r="F43" s="21"/>
      <c r="G43" s="22"/>
      <c r="H43" s="20"/>
      <c r="J43" s="18"/>
      <c r="K43" s="20"/>
      <c r="L43" s="20"/>
      <c r="N43" s="23"/>
      <c r="O43" s="24"/>
    </row>
    <row r="44" spans="1:15" x14ac:dyDescent="0.25">
      <c r="A44"/>
      <c r="B44"/>
      <c r="C44" s="25"/>
      <c r="D44"/>
      <c r="E44"/>
      <c r="F44"/>
      <c r="G44" s="22"/>
      <c r="H44" s="20"/>
      <c r="K44"/>
      <c r="L44" s="20"/>
      <c r="M44" s="19"/>
    </row>
    <row r="45" spans="1:15" x14ac:dyDescent="0.25">
      <c r="A45"/>
      <c r="B45"/>
      <c r="C45" s="25"/>
      <c r="D45"/>
      <c r="E45"/>
      <c r="F45"/>
      <c r="G45" s="22"/>
      <c r="H45" s="20"/>
      <c r="K45"/>
      <c r="L45" s="20"/>
      <c r="M45" s="19"/>
    </row>
    <row r="46" spans="1:15" x14ac:dyDescent="0.25">
      <c r="A46"/>
      <c r="B46"/>
      <c r="C46" s="25"/>
      <c r="D46"/>
      <c r="E46"/>
      <c r="F46"/>
      <c r="G46" s="22"/>
      <c r="H46" s="20"/>
      <c r="K46"/>
      <c r="L46" s="20"/>
      <c r="M46" s="19"/>
    </row>
    <row r="47" spans="1:15" x14ac:dyDescent="0.25">
      <c r="A47"/>
      <c r="B47"/>
      <c r="C47" s="25"/>
      <c r="D47"/>
      <c r="E47"/>
      <c r="F47"/>
      <c r="G47" s="22"/>
      <c r="H47" s="20"/>
      <c r="K47"/>
      <c r="L47" s="20"/>
      <c r="M47" s="19"/>
    </row>
    <row r="48" spans="1:15" x14ac:dyDescent="0.25">
      <c r="A48"/>
      <c r="B48"/>
      <c r="C48" s="25"/>
      <c r="D48"/>
      <c r="E48"/>
      <c r="F48"/>
      <c r="G48" s="22"/>
      <c r="H48" s="20"/>
      <c r="K48"/>
      <c r="L48" s="20"/>
      <c r="M48" s="19"/>
    </row>
    <row r="49" spans="1:13" x14ac:dyDescent="0.25">
      <c r="A49"/>
      <c r="B49"/>
      <c r="C49" s="25"/>
      <c r="D49"/>
      <c r="E49"/>
      <c r="F49"/>
      <c r="G49" s="22"/>
      <c r="H49" s="20"/>
      <c r="K49"/>
      <c r="L49" s="20"/>
      <c r="M49" s="19"/>
    </row>
    <row r="50" spans="1:13" x14ac:dyDescent="0.25">
      <c r="A50"/>
      <c r="B50"/>
      <c r="C50" s="25"/>
      <c r="D50"/>
      <c r="E50"/>
      <c r="F50"/>
      <c r="G50" s="22"/>
      <c r="H50" s="20"/>
      <c r="K50"/>
      <c r="L50" s="20"/>
      <c r="M50" s="19"/>
    </row>
    <row r="51" spans="1:13" x14ac:dyDescent="0.25">
      <c r="A51"/>
      <c r="B51"/>
      <c r="C51" s="25"/>
      <c r="D51"/>
      <c r="E51"/>
      <c r="F51"/>
      <c r="G51" s="22"/>
      <c r="H51" s="20"/>
      <c r="K51"/>
      <c r="L51" s="20"/>
      <c r="M51" s="19"/>
    </row>
    <row r="52" spans="1:13" x14ac:dyDescent="0.25">
      <c r="A52"/>
      <c r="B52"/>
      <c r="C52" s="25"/>
      <c r="D52"/>
      <c r="E52"/>
      <c r="F52"/>
      <c r="G52" s="22"/>
      <c r="H52" s="20"/>
      <c r="K52"/>
      <c r="L52" s="20"/>
      <c r="M52" s="19"/>
    </row>
    <row r="53" spans="1:13" x14ac:dyDescent="0.25">
      <c r="A53"/>
      <c r="B53"/>
      <c r="C53" s="25"/>
      <c r="D53"/>
      <c r="E53"/>
      <c r="F53"/>
      <c r="G53" s="22"/>
      <c r="H53" s="20"/>
      <c r="K53"/>
      <c r="L53" s="20"/>
      <c r="M53" s="19"/>
    </row>
    <row r="54" spans="1:13" x14ac:dyDescent="0.25">
      <c r="A54"/>
      <c r="B54"/>
      <c r="C54" s="25"/>
      <c r="D54"/>
      <c r="E54"/>
      <c r="F54"/>
      <c r="G54" s="22"/>
      <c r="H54" s="20"/>
      <c r="K54"/>
      <c r="L54" s="20"/>
      <c r="M54" s="19"/>
    </row>
    <row r="55" spans="1:13" x14ac:dyDescent="0.25">
      <c r="A55"/>
      <c r="B55"/>
      <c r="C55" s="25"/>
      <c r="D55"/>
      <c r="E55"/>
      <c r="F55"/>
      <c r="G55" s="22"/>
      <c r="H55" s="20"/>
      <c r="K55"/>
      <c r="L55" s="20"/>
      <c r="M55" s="19"/>
    </row>
    <row r="56" spans="1:13" x14ac:dyDescent="0.25">
      <c r="A56"/>
      <c r="B56"/>
      <c r="C56" s="25"/>
      <c r="D56"/>
      <c r="E56"/>
      <c r="F56"/>
      <c r="G56" s="22"/>
      <c r="H56" s="20"/>
      <c r="K56"/>
      <c r="L56" s="20"/>
      <c r="M56" s="19"/>
    </row>
    <row r="57" spans="1:13" x14ac:dyDescent="0.25">
      <c r="A57"/>
      <c r="B57"/>
      <c r="C57" s="25"/>
      <c r="D57"/>
      <c r="E57"/>
      <c r="F57"/>
      <c r="G57" s="22"/>
      <c r="H57" s="20"/>
      <c r="K57"/>
      <c r="L57" s="20"/>
      <c r="M57" s="19"/>
    </row>
    <row r="58" spans="1:13" x14ac:dyDescent="0.25">
      <c r="A58"/>
      <c r="B58"/>
      <c r="C58" s="25"/>
      <c r="D58"/>
      <c r="E58"/>
      <c r="F58"/>
      <c r="G58" s="22"/>
      <c r="H58" s="20"/>
      <c r="K58"/>
      <c r="L58" s="20"/>
      <c r="M58" s="19"/>
    </row>
    <row r="59" spans="1:13" x14ac:dyDescent="0.25">
      <c r="A59"/>
      <c r="B59"/>
      <c r="C59" s="25"/>
      <c r="D59"/>
      <c r="E59"/>
      <c r="F59"/>
      <c r="G59" s="22"/>
      <c r="H59" s="20"/>
      <c r="K59"/>
      <c r="L59" s="20"/>
      <c r="M59" s="19"/>
    </row>
    <row r="60" spans="1:13" x14ac:dyDescent="0.25">
      <c r="A60"/>
      <c r="B60"/>
      <c r="C60" s="25"/>
      <c r="D60"/>
      <c r="E60"/>
      <c r="F60"/>
      <c r="G60" s="22"/>
      <c r="H60" s="20"/>
      <c r="K60"/>
      <c r="L60" s="20"/>
      <c r="M60" s="19"/>
    </row>
    <row r="61" spans="1:13" x14ac:dyDescent="0.25">
      <c r="A61"/>
      <c r="B61"/>
      <c r="C61" s="25"/>
      <c r="D61"/>
      <c r="E61"/>
      <c r="F61"/>
      <c r="G61" s="22"/>
      <c r="H61" s="20"/>
      <c r="K61"/>
      <c r="L61" s="20"/>
      <c r="M61" s="19"/>
    </row>
    <row r="62" spans="1:13" x14ac:dyDescent="0.25">
      <c r="A62"/>
      <c r="B62"/>
      <c r="C62" s="25"/>
      <c r="D62"/>
      <c r="E62"/>
      <c r="F62"/>
      <c r="G62" s="22"/>
      <c r="H62" s="20"/>
      <c r="K62"/>
      <c r="L62" s="20"/>
      <c r="M62" s="19"/>
    </row>
    <row r="63" spans="1:13" x14ac:dyDescent="0.25">
      <c r="A63"/>
      <c r="B63"/>
      <c r="C63" s="25"/>
      <c r="D63"/>
      <c r="E63"/>
      <c r="F63"/>
      <c r="G63" s="22"/>
      <c r="H63" s="20"/>
      <c r="K63"/>
      <c r="L63" s="20"/>
      <c r="M63" s="19"/>
    </row>
    <row r="64" spans="1:13" x14ac:dyDescent="0.25">
      <c r="A64"/>
      <c r="B64"/>
      <c r="C64" s="25"/>
      <c r="D64"/>
      <c r="E64"/>
      <c r="F64"/>
      <c r="G64" s="22"/>
      <c r="H64" s="20"/>
      <c r="K64"/>
      <c r="L64" s="20"/>
      <c r="M64" s="19"/>
    </row>
    <row r="65" spans="1:13" x14ac:dyDescent="0.25">
      <c r="A65"/>
      <c r="B65"/>
      <c r="C65" s="25"/>
      <c r="D65"/>
      <c r="E65"/>
      <c r="F65"/>
      <c r="G65" s="22"/>
      <c r="H65" s="20"/>
      <c r="K65"/>
      <c r="L65" s="20"/>
      <c r="M65" s="19"/>
    </row>
    <row r="66" spans="1:13" x14ac:dyDescent="0.25">
      <c r="A66"/>
      <c r="B66"/>
      <c r="C66" s="25"/>
      <c r="D66"/>
      <c r="E66"/>
      <c r="F66"/>
      <c r="G66" s="22"/>
      <c r="H66" s="20"/>
      <c r="K66"/>
      <c r="L66" s="20"/>
      <c r="M66" s="19"/>
    </row>
    <row r="67" spans="1:13" x14ac:dyDescent="0.25">
      <c r="A67"/>
      <c r="B67"/>
      <c r="C67" s="25"/>
      <c r="D67"/>
      <c r="E67"/>
      <c r="F67"/>
      <c r="G67" s="22"/>
      <c r="H67" s="20"/>
      <c r="K67"/>
      <c r="L67" s="20"/>
      <c r="M67" s="19"/>
    </row>
    <row r="68" spans="1:13" x14ac:dyDescent="0.25">
      <c r="A68"/>
      <c r="B68"/>
      <c r="C68" s="25"/>
      <c r="D68"/>
      <c r="E68"/>
      <c r="F68"/>
      <c r="G68" s="22"/>
      <c r="H68" s="20"/>
      <c r="K68"/>
      <c r="L68" s="20"/>
      <c r="M68" s="19"/>
    </row>
    <row r="69" spans="1:13" x14ac:dyDescent="0.25">
      <c r="A69"/>
      <c r="B69"/>
      <c r="C69" s="25"/>
      <c r="D69"/>
      <c r="E69"/>
      <c r="F69"/>
      <c r="G69" s="22"/>
      <c r="H69" s="20"/>
      <c r="K69"/>
      <c r="L69" s="20"/>
      <c r="M69" s="19"/>
    </row>
    <row r="70" spans="1:13" x14ac:dyDescent="0.25">
      <c r="A70"/>
      <c r="B70"/>
      <c r="C70" s="25"/>
      <c r="D70"/>
      <c r="E70"/>
      <c r="F70"/>
      <c r="G70" s="22"/>
      <c r="H70" s="20"/>
      <c r="I70"/>
      <c r="K70"/>
      <c r="L70" s="20"/>
      <c r="M70" s="19"/>
    </row>
    <row r="71" spans="1:13" x14ac:dyDescent="0.25">
      <c r="A71"/>
      <c r="B71"/>
      <c r="C71" s="25"/>
      <c r="D71"/>
      <c r="E71"/>
      <c r="F71"/>
      <c r="G71" s="22"/>
      <c r="H71" s="20"/>
      <c r="I71"/>
      <c r="K71"/>
      <c r="L71" s="20"/>
      <c r="M71" s="19"/>
    </row>
    <row r="72" spans="1:13" x14ac:dyDescent="0.25">
      <c r="A72"/>
      <c r="B72"/>
      <c r="C72" s="25"/>
      <c r="D72"/>
      <c r="E72"/>
      <c r="F72"/>
      <c r="G72" s="22"/>
      <c r="H72" s="20"/>
      <c r="I72"/>
      <c r="K72"/>
      <c r="L72" s="20"/>
      <c r="M72" s="19"/>
    </row>
    <row r="73" spans="1:13" x14ac:dyDescent="0.25">
      <c r="A73"/>
      <c r="B73"/>
      <c r="C73" s="25"/>
      <c r="D73"/>
      <c r="E73"/>
      <c r="F73"/>
      <c r="G73" s="22"/>
      <c r="H73" s="20"/>
      <c r="I73"/>
      <c r="K73"/>
      <c r="L73" s="20"/>
      <c r="M73" s="19"/>
    </row>
    <row r="74" spans="1:13" x14ac:dyDescent="0.25">
      <c r="A74"/>
      <c r="B74"/>
      <c r="C74" s="25"/>
      <c r="D74"/>
      <c r="E74"/>
      <c r="F74"/>
      <c r="G74" s="22"/>
      <c r="H74" s="20"/>
      <c r="I74"/>
      <c r="K74"/>
      <c r="L74" s="20"/>
      <c r="M74" s="19"/>
    </row>
    <row r="75" spans="1:13" x14ac:dyDescent="0.25">
      <c r="A75"/>
      <c r="B75"/>
      <c r="C75" s="25"/>
      <c r="D75"/>
      <c r="E75"/>
      <c r="F75"/>
      <c r="G75" s="22"/>
      <c r="H75" s="20"/>
      <c r="I75"/>
      <c r="K75"/>
      <c r="L75" s="20"/>
      <c r="M75" s="19"/>
    </row>
    <row r="76" spans="1:13" x14ac:dyDescent="0.25">
      <c r="A76"/>
      <c r="B76"/>
      <c r="C76" s="25"/>
      <c r="D76"/>
      <c r="E76"/>
      <c r="F76"/>
      <c r="G76" s="22"/>
      <c r="H76" s="20"/>
      <c r="I76"/>
      <c r="J76"/>
      <c r="K76"/>
      <c r="L76" s="20"/>
      <c r="M76" s="19"/>
    </row>
    <row r="77" spans="1:13" x14ac:dyDescent="0.25">
      <c r="A77"/>
      <c r="B77"/>
      <c r="C77" s="25"/>
      <c r="D77"/>
      <c r="E77"/>
      <c r="F77"/>
      <c r="G77" s="22"/>
      <c r="H77" s="20"/>
      <c r="I77"/>
      <c r="K77"/>
      <c r="L77" s="20"/>
      <c r="M77" s="19"/>
    </row>
    <row r="78" spans="1:13" x14ac:dyDescent="0.25">
      <c r="A78"/>
      <c r="B78"/>
      <c r="C78" s="25"/>
      <c r="D78"/>
      <c r="E78"/>
      <c r="F78"/>
      <c r="G78" s="22"/>
      <c r="H78" s="20"/>
      <c r="I78"/>
      <c r="K78"/>
      <c r="L78" s="20"/>
      <c r="M78" s="19"/>
    </row>
    <row r="79" spans="1:13" x14ac:dyDescent="0.25">
      <c r="A79"/>
      <c r="B79"/>
      <c r="C79" s="25"/>
      <c r="D79"/>
      <c r="E79"/>
      <c r="F79"/>
      <c r="G79" s="22"/>
      <c r="H79" s="20"/>
      <c r="I79"/>
      <c r="K79"/>
      <c r="L79" s="20"/>
      <c r="M79" s="19"/>
    </row>
    <row r="80" spans="1:13" x14ac:dyDescent="0.25">
      <c r="A80"/>
      <c r="B80"/>
      <c r="C80" s="25"/>
      <c r="D80"/>
      <c r="E80"/>
      <c r="F80"/>
      <c r="G80" s="22"/>
      <c r="H80" s="20"/>
      <c r="I80"/>
      <c r="K80"/>
      <c r="L80" s="20"/>
      <c r="M80" s="19"/>
    </row>
    <row r="81" spans="1:13" x14ac:dyDescent="0.25">
      <c r="A81"/>
      <c r="B81"/>
      <c r="C81" s="25"/>
      <c r="D81"/>
      <c r="E81"/>
      <c r="F81"/>
      <c r="G81" s="22"/>
      <c r="H81" s="20"/>
      <c r="I81"/>
      <c r="K81"/>
      <c r="L81" s="20"/>
      <c r="M81" s="19"/>
    </row>
    <row r="82" spans="1:13" x14ac:dyDescent="0.25">
      <c r="A82"/>
      <c r="B82"/>
      <c r="C82" s="25"/>
      <c r="D82"/>
      <c r="E82"/>
      <c r="F82"/>
      <c r="G82" s="22"/>
      <c r="H82" s="20"/>
      <c r="I82"/>
      <c r="K82"/>
      <c r="L82" s="20"/>
      <c r="M82" s="19"/>
    </row>
    <row r="83" spans="1:13" x14ac:dyDescent="0.25">
      <c r="A83"/>
      <c r="B83"/>
      <c r="C83" s="25"/>
      <c r="D83"/>
      <c r="E83"/>
      <c r="F83"/>
      <c r="G83" s="22"/>
      <c r="H83" s="20"/>
      <c r="I83"/>
      <c r="K83"/>
      <c r="L83" s="20"/>
      <c r="M83" s="19"/>
    </row>
    <row r="84" spans="1:13" x14ac:dyDescent="0.25">
      <c r="C84" s="9"/>
      <c r="E84" s="3"/>
      <c r="F84" s="16"/>
      <c r="G84" s="17"/>
      <c r="H84" s="3"/>
      <c r="K84" s="3"/>
      <c r="L84" s="3"/>
    </row>
    <row r="85" spans="1:13" x14ac:dyDescent="0.25">
      <c r="C85" s="9"/>
      <c r="E85" s="3"/>
      <c r="F85" s="16"/>
      <c r="G85" s="17"/>
      <c r="H85" s="3"/>
      <c r="K85" s="3"/>
      <c r="L85" s="3"/>
    </row>
    <row r="86" spans="1:13" x14ac:dyDescent="0.25">
      <c r="C86" s="9"/>
      <c r="E86" s="3"/>
      <c r="F86" s="16"/>
      <c r="G86" s="17"/>
      <c r="H86" s="3"/>
      <c r="K86" s="3"/>
      <c r="L86" s="3"/>
    </row>
    <row r="87" spans="1:13" x14ac:dyDescent="0.25">
      <c r="C87" s="9"/>
      <c r="E87" s="3"/>
      <c r="F87" s="16"/>
      <c r="G87" s="17"/>
      <c r="H87" s="3"/>
      <c r="K87" s="3"/>
      <c r="L87" s="3"/>
    </row>
    <row r="88" spans="1:13" x14ac:dyDescent="0.25">
      <c r="C88" s="9"/>
      <c r="E88" s="3"/>
      <c r="F88" s="16"/>
      <c r="G88" s="17"/>
      <c r="H88" s="3"/>
      <c r="K88" s="3"/>
      <c r="L88" s="3"/>
    </row>
    <row r="89" spans="1:13" x14ac:dyDescent="0.25">
      <c r="C89" s="9"/>
      <c r="E89" s="3"/>
      <c r="F89" s="16"/>
      <c r="G89" s="17"/>
      <c r="H89" s="3"/>
      <c r="K89" s="3"/>
      <c r="L89" s="3"/>
    </row>
    <row r="90" spans="1:13" x14ac:dyDescent="0.25">
      <c r="C90" s="9"/>
      <c r="E90" s="3"/>
      <c r="F90" s="16"/>
      <c r="G90" s="17"/>
      <c r="H90" s="3"/>
      <c r="K90" s="3"/>
      <c r="L90" s="3"/>
    </row>
    <row r="91" spans="1:13" x14ac:dyDescent="0.25">
      <c r="C91" s="9"/>
      <c r="E91" s="3"/>
      <c r="F91" s="16"/>
      <c r="G91" s="17"/>
      <c r="H91" s="3"/>
      <c r="K91" s="3"/>
      <c r="L91" s="3"/>
    </row>
    <row r="92" spans="1:13" x14ac:dyDescent="0.25">
      <c r="C92" s="9"/>
      <c r="E92" s="3"/>
      <c r="F92" s="16"/>
      <c r="G92" s="17"/>
      <c r="H92" s="3"/>
      <c r="K92" s="3"/>
      <c r="L92" s="3"/>
    </row>
    <row r="93" spans="1:13" x14ac:dyDescent="0.25">
      <c r="C93" s="9"/>
      <c r="E93" s="3"/>
      <c r="F93" s="16"/>
      <c r="G93" s="17"/>
      <c r="H93" s="3"/>
      <c r="K93" s="3"/>
      <c r="L93" s="3"/>
    </row>
    <row r="94" spans="1:13" x14ac:dyDescent="0.25">
      <c r="C94" s="9"/>
      <c r="E94" s="3"/>
      <c r="F94" s="16"/>
      <c r="G94" s="17"/>
      <c r="H94" s="3"/>
      <c r="K94" s="3"/>
      <c r="L94" s="3"/>
    </row>
    <row r="95" spans="1:13" x14ac:dyDescent="0.25">
      <c r="C95" s="9"/>
      <c r="E95" s="3"/>
      <c r="F95" s="16"/>
      <c r="G95" s="17"/>
      <c r="H95" s="3"/>
      <c r="K95" s="3"/>
      <c r="L95" s="3"/>
    </row>
    <row r="96" spans="1:13" x14ac:dyDescent="0.25">
      <c r="C96" s="9"/>
      <c r="E96" s="3"/>
      <c r="F96" s="16"/>
      <c r="G96" s="17"/>
      <c r="H96" s="3"/>
      <c r="K96" s="3"/>
      <c r="L96" s="3"/>
    </row>
    <row r="97" spans="3:12" x14ac:dyDescent="0.25">
      <c r="C97" s="9"/>
      <c r="E97" s="3"/>
      <c r="F97" s="16"/>
      <c r="G97" s="17"/>
      <c r="H97" s="3"/>
      <c r="K97" s="3"/>
      <c r="L97" s="3"/>
    </row>
    <row r="98" spans="3:12" x14ac:dyDescent="0.25">
      <c r="C98" s="9"/>
      <c r="E98" s="3"/>
      <c r="F98" s="16"/>
      <c r="G98" s="17"/>
      <c r="H98" s="3"/>
      <c r="K98" s="3"/>
      <c r="L98" s="3"/>
    </row>
    <row r="99" spans="3:12" x14ac:dyDescent="0.25">
      <c r="C99" s="9"/>
      <c r="E99" s="3"/>
      <c r="F99" s="16"/>
      <c r="G99" s="17"/>
      <c r="H99" s="3"/>
      <c r="K99" s="3"/>
      <c r="L99" s="3"/>
    </row>
    <row r="100" spans="3:12" x14ac:dyDescent="0.25">
      <c r="C100" s="9"/>
      <c r="E100" s="3"/>
      <c r="F100" s="16"/>
      <c r="G100" s="17"/>
      <c r="H100" s="3"/>
      <c r="K100" s="3"/>
      <c r="L100" s="3"/>
    </row>
    <row r="101" spans="3:12" x14ac:dyDescent="0.25">
      <c r="C101" s="9"/>
      <c r="E101" s="3"/>
      <c r="F101" s="16"/>
      <c r="G101" s="17"/>
      <c r="H101" s="3"/>
      <c r="K101" s="3"/>
      <c r="L101" s="3"/>
    </row>
    <row r="102" spans="3:12" x14ac:dyDescent="0.25">
      <c r="C102" s="9"/>
      <c r="E102" s="3"/>
      <c r="F102" s="16"/>
      <c r="G102" s="17"/>
      <c r="H102" s="3"/>
      <c r="K102" s="3"/>
      <c r="L102" s="3"/>
    </row>
    <row r="103" spans="3:12" x14ac:dyDescent="0.25">
      <c r="C103" s="9"/>
      <c r="E103" s="3"/>
      <c r="F103" s="16"/>
      <c r="G103" s="17"/>
      <c r="H103" s="3"/>
      <c r="K103" s="3"/>
      <c r="L103" s="3"/>
    </row>
    <row r="104" spans="3:12" x14ac:dyDescent="0.25">
      <c r="C104" s="9"/>
      <c r="E104" s="3"/>
      <c r="F104" s="16"/>
      <c r="G104" s="17"/>
      <c r="H104" s="3"/>
      <c r="K104" s="3"/>
      <c r="L104" s="3"/>
    </row>
    <row r="105" spans="3:12" x14ac:dyDescent="0.25">
      <c r="C105" s="9"/>
      <c r="E105" s="3"/>
      <c r="F105" s="16"/>
      <c r="G105" s="17"/>
      <c r="H105" s="3"/>
      <c r="K105" s="3"/>
      <c r="L105" s="3"/>
    </row>
    <row r="106" spans="3:12" x14ac:dyDescent="0.25">
      <c r="C106" s="9"/>
      <c r="E106" s="3"/>
      <c r="F106" s="16"/>
      <c r="G106" s="17"/>
      <c r="H106" s="3"/>
      <c r="K106" s="3"/>
      <c r="L106" s="3"/>
    </row>
    <row r="107" spans="3:12" x14ac:dyDescent="0.25">
      <c r="C107" s="9"/>
      <c r="E107" s="3"/>
      <c r="F107" s="16"/>
      <c r="G107" s="17"/>
      <c r="H107" s="3"/>
      <c r="K107" s="3"/>
      <c r="L107" s="3"/>
    </row>
    <row r="108" spans="3:12" x14ac:dyDescent="0.25">
      <c r="C108" s="9"/>
      <c r="E108" s="3"/>
      <c r="F108" s="16"/>
      <c r="G108" s="17"/>
      <c r="H108" s="3"/>
      <c r="K108" s="3"/>
      <c r="L108" s="3"/>
    </row>
    <row r="109" spans="3:12" x14ac:dyDescent="0.25">
      <c r="C109" s="9"/>
      <c r="E109" s="3"/>
      <c r="F109" s="16"/>
      <c r="G109" s="17"/>
      <c r="H109" s="3"/>
      <c r="K109" s="3"/>
      <c r="L109" s="3"/>
    </row>
    <row r="110" spans="3:12" x14ac:dyDescent="0.25">
      <c r="C110" s="9"/>
      <c r="E110" s="3"/>
      <c r="F110" s="16"/>
      <c r="G110" s="17"/>
      <c r="H110" s="3"/>
      <c r="K110" s="3"/>
      <c r="L110" s="3"/>
    </row>
    <row r="111" spans="3:12" x14ac:dyDescent="0.25">
      <c r="C111" s="9"/>
      <c r="E111" s="3"/>
      <c r="F111" s="16"/>
      <c r="G111" s="17"/>
      <c r="H111" s="3"/>
      <c r="K111" s="3"/>
      <c r="L111" s="3"/>
    </row>
    <row r="112" spans="3:12" x14ac:dyDescent="0.25">
      <c r="C112" s="9"/>
      <c r="E112" s="3"/>
      <c r="F112" s="16"/>
      <c r="G112" s="17"/>
      <c r="H112" s="3"/>
      <c r="K112" s="3"/>
      <c r="L112" s="3"/>
    </row>
    <row r="113" spans="3:12" x14ac:dyDescent="0.25">
      <c r="C113" s="9"/>
      <c r="E113" s="3"/>
      <c r="F113" s="16"/>
      <c r="G113" s="17"/>
      <c r="H113" s="3"/>
      <c r="K113" s="3"/>
      <c r="L113" s="3"/>
    </row>
    <row r="114" spans="3:12" x14ac:dyDescent="0.25">
      <c r="C114" s="9"/>
      <c r="E114" s="3"/>
      <c r="F114" s="16"/>
      <c r="G114" s="17"/>
      <c r="H114" s="3"/>
      <c r="K114" s="3"/>
      <c r="L114" s="3"/>
    </row>
    <row r="115" spans="3:12" x14ac:dyDescent="0.25">
      <c r="C115" s="9"/>
      <c r="E115" s="3"/>
      <c r="F115" s="16"/>
      <c r="G115" s="17"/>
      <c r="H115" s="3"/>
      <c r="K115" s="3"/>
      <c r="L115" s="3"/>
    </row>
    <row r="116" spans="3:12" x14ac:dyDescent="0.25">
      <c r="C116" s="9"/>
      <c r="E116" s="3"/>
      <c r="F116" s="16"/>
      <c r="G116" s="17"/>
      <c r="H116" s="3"/>
      <c r="K116" s="3"/>
      <c r="L116" s="3"/>
    </row>
    <row r="117" spans="3:12" x14ac:dyDescent="0.25">
      <c r="C117" s="9"/>
      <c r="E117" s="3"/>
      <c r="F117" s="16"/>
      <c r="G117" s="17"/>
      <c r="H117" s="3"/>
      <c r="K117" s="3"/>
      <c r="L117" s="3"/>
    </row>
    <row r="118" spans="3:12" x14ac:dyDescent="0.25">
      <c r="C118" s="9"/>
      <c r="E118" s="3"/>
      <c r="F118" s="16"/>
      <c r="G118" s="17"/>
      <c r="H118" s="3"/>
      <c r="K118" s="3"/>
      <c r="L118" s="3"/>
    </row>
    <row r="119" spans="3:12" x14ac:dyDescent="0.25">
      <c r="C119" s="9"/>
      <c r="E119" s="3"/>
      <c r="F119" s="16"/>
      <c r="G119" s="17"/>
      <c r="H119" s="3"/>
      <c r="K119" s="3"/>
      <c r="L119" s="3"/>
    </row>
    <row r="120" spans="3:12" x14ac:dyDescent="0.25">
      <c r="C120" s="9"/>
      <c r="E120" s="3"/>
      <c r="F120" s="16"/>
      <c r="G120" s="17"/>
      <c r="H120" s="3"/>
      <c r="K120" s="3"/>
      <c r="L120" s="3"/>
    </row>
    <row r="121" spans="3:12" x14ac:dyDescent="0.25">
      <c r="C121" s="9"/>
      <c r="E121" s="3"/>
      <c r="F121" s="16"/>
      <c r="G121" s="17"/>
      <c r="H121" s="3"/>
      <c r="K121" s="3"/>
      <c r="L121" s="3"/>
    </row>
    <row r="122" spans="3:12" x14ac:dyDescent="0.25">
      <c r="C122" s="9"/>
      <c r="E122" s="3"/>
      <c r="F122" s="16"/>
      <c r="G122" s="17"/>
      <c r="H122" s="3"/>
      <c r="K122" s="3"/>
      <c r="L122" s="3"/>
    </row>
    <row r="123" spans="3:12" x14ac:dyDescent="0.25">
      <c r="C123" s="9"/>
      <c r="E123" s="3"/>
      <c r="F123" s="16"/>
      <c r="G123" s="17"/>
      <c r="H123" s="3"/>
      <c r="K123" s="3"/>
      <c r="L123" s="3"/>
    </row>
    <row r="124" spans="3:12" x14ac:dyDescent="0.25">
      <c r="C124" s="9"/>
      <c r="E124" s="3"/>
      <c r="F124" s="16"/>
      <c r="G124" s="17"/>
      <c r="H124" s="3"/>
      <c r="K124" s="3"/>
      <c r="L124" s="3"/>
    </row>
    <row r="125" spans="3:12" x14ac:dyDescent="0.25">
      <c r="C125" s="9"/>
      <c r="E125" s="3"/>
      <c r="F125" s="16"/>
      <c r="G125" s="17"/>
      <c r="H125" s="3"/>
      <c r="K125" s="3"/>
      <c r="L125" s="3"/>
    </row>
    <row r="126" spans="3:12" x14ac:dyDescent="0.25">
      <c r="C126" s="9"/>
      <c r="E126" s="3"/>
      <c r="F126" s="16"/>
      <c r="G126" s="17"/>
      <c r="H126" s="3"/>
      <c r="K126" s="3"/>
      <c r="L126" s="3"/>
    </row>
    <row r="127" spans="3:12" x14ac:dyDescent="0.25">
      <c r="C127" s="9"/>
      <c r="E127" s="3"/>
      <c r="F127" s="16"/>
      <c r="G127" s="17"/>
      <c r="H127" s="3"/>
      <c r="K127" s="3"/>
      <c r="L127" s="3"/>
    </row>
    <row r="128" spans="3:12" x14ac:dyDescent="0.25">
      <c r="C128" s="9"/>
      <c r="E128" s="3"/>
      <c r="F128" s="16"/>
      <c r="G128" s="17"/>
      <c r="H128" s="3"/>
      <c r="K128" s="3"/>
      <c r="L128" s="3"/>
    </row>
    <row r="129" spans="3:12" x14ac:dyDescent="0.25">
      <c r="C129" s="9"/>
      <c r="E129" s="3"/>
      <c r="F129" s="16"/>
      <c r="G129" s="17"/>
      <c r="H129" s="3"/>
      <c r="K129" s="3"/>
      <c r="L129" s="3"/>
    </row>
    <row r="130" spans="3:12" x14ac:dyDescent="0.25">
      <c r="C130" s="9"/>
      <c r="E130" s="3"/>
      <c r="F130" s="16"/>
      <c r="G130" s="17"/>
      <c r="H130" s="3"/>
      <c r="K130" s="3"/>
      <c r="L130" s="3"/>
    </row>
    <row r="131" spans="3:12" x14ac:dyDescent="0.25">
      <c r="C131" s="9"/>
      <c r="E131" s="3"/>
      <c r="F131" s="16"/>
      <c r="G131" s="17"/>
      <c r="H131" s="3"/>
      <c r="K131" s="3"/>
      <c r="L131" s="3"/>
    </row>
    <row r="132" spans="3:12" x14ac:dyDescent="0.25">
      <c r="C132" s="9"/>
      <c r="E132" s="3"/>
      <c r="F132" s="16"/>
      <c r="G132" s="17"/>
      <c r="H132" s="3"/>
      <c r="K132" s="3"/>
      <c r="L132" s="3"/>
    </row>
    <row r="133" spans="3:12" x14ac:dyDescent="0.25">
      <c r="C133" s="9"/>
      <c r="E133" s="3"/>
      <c r="F133" s="16"/>
      <c r="G133" s="17"/>
      <c r="H133" s="3"/>
      <c r="K133" s="3"/>
      <c r="L133" s="3"/>
    </row>
    <row r="134" spans="3:12" x14ac:dyDescent="0.25">
      <c r="C134" s="9"/>
      <c r="E134" s="3"/>
      <c r="F134" s="16"/>
      <c r="G134" s="17"/>
      <c r="H134" s="3"/>
      <c r="K134" s="3"/>
      <c r="L134" s="3"/>
    </row>
    <row r="135" spans="3:12" x14ac:dyDescent="0.25">
      <c r="C135" s="9"/>
      <c r="E135" s="3"/>
      <c r="F135" s="16"/>
      <c r="G135" s="17"/>
      <c r="H135" s="3"/>
      <c r="K135" s="3"/>
      <c r="L135" s="3"/>
    </row>
    <row r="136" spans="3:12" x14ac:dyDescent="0.25">
      <c r="C136" s="9"/>
      <c r="E136" s="3"/>
      <c r="F136" s="16"/>
      <c r="G136" s="17"/>
      <c r="H136" s="3"/>
      <c r="K136" s="3"/>
      <c r="L136" s="3"/>
    </row>
    <row r="137" spans="3:12" x14ac:dyDescent="0.25">
      <c r="C137" s="9"/>
      <c r="E137" s="3"/>
      <c r="F137" s="16"/>
      <c r="G137" s="17"/>
      <c r="H137" s="3"/>
      <c r="K137" s="3"/>
      <c r="L137" s="3"/>
    </row>
    <row r="138" spans="3:12" x14ac:dyDescent="0.25">
      <c r="C138" s="9"/>
      <c r="E138" s="3"/>
      <c r="F138" s="16"/>
      <c r="G138" s="17"/>
      <c r="H138" s="3"/>
      <c r="K138" s="3"/>
      <c r="L138" s="3"/>
    </row>
    <row r="139" spans="3:12" x14ac:dyDescent="0.25">
      <c r="C139" s="9"/>
      <c r="E139" s="3"/>
      <c r="F139" s="16"/>
      <c r="G139" s="17"/>
      <c r="H139" s="3"/>
      <c r="K139" s="3"/>
      <c r="L139" s="3"/>
    </row>
    <row r="140" spans="3:12" x14ac:dyDescent="0.25">
      <c r="C140" s="9"/>
      <c r="E140" s="3"/>
      <c r="F140" s="16"/>
      <c r="G140" s="17"/>
      <c r="H140" s="3"/>
      <c r="K140" s="3"/>
      <c r="L140" s="3"/>
    </row>
    <row r="141" spans="3:12" x14ac:dyDescent="0.25">
      <c r="C141" s="9"/>
      <c r="E141" s="3"/>
      <c r="F141" s="16"/>
      <c r="G141" s="17"/>
      <c r="H141" s="3"/>
      <c r="K141" s="3"/>
      <c r="L141" s="3"/>
    </row>
    <row r="142" spans="3:12" x14ac:dyDescent="0.25">
      <c r="C142" s="9"/>
      <c r="E142" s="3"/>
      <c r="F142" s="16"/>
      <c r="G142" s="17"/>
      <c r="H142" s="3"/>
      <c r="K142" s="3"/>
      <c r="L142" s="3"/>
    </row>
    <row r="143" spans="3:12" x14ac:dyDescent="0.25">
      <c r="C143" s="9"/>
      <c r="E143" s="3"/>
      <c r="F143" s="16"/>
      <c r="G143" s="17"/>
      <c r="H143" s="3"/>
      <c r="K143" s="3"/>
      <c r="L143" s="3"/>
    </row>
    <row r="144" spans="3:12" x14ac:dyDescent="0.25">
      <c r="C144" s="9"/>
      <c r="E144" s="3"/>
      <c r="F144" s="16"/>
      <c r="G144" s="17"/>
      <c r="H144" s="3"/>
      <c r="K144" s="3"/>
      <c r="L144" s="3"/>
    </row>
    <row r="145" spans="3:12" x14ac:dyDescent="0.25">
      <c r="C145" s="9"/>
      <c r="E145" s="3"/>
      <c r="F145" s="16"/>
      <c r="G145" s="17"/>
      <c r="H145" s="3"/>
      <c r="K145" s="3"/>
      <c r="L145" s="3"/>
    </row>
    <row r="146" spans="3:12" x14ac:dyDescent="0.25">
      <c r="C146" s="9"/>
      <c r="E146" s="3"/>
      <c r="F146" s="16"/>
      <c r="G146" s="17"/>
      <c r="H146" s="3"/>
      <c r="K146" s="3"/>
      <c r="L146" s="3"/>
    </row>
    <row r="147" spans="3:12" x14ac:dyDescent="0.25">
      <c r="C147" s="9"/>
      <c r="E147" s="3"/>
      <c r="F147" s="16"/>
      <c r="G147" s="17"/>
      <c r="H147" s="3"/>
      <c r="K147" s="3"/>
      <c r="L147" s="3"/>
    </row>
    <row r="148" spans="3:12" x14ac:dyDescent="0.25">
      <c r="C148" s="9"/>
      <c r="E148" s="3"/>
      <c r="F148" s="16"/>
      <c r="G148" s="17"/>
      <c r="H148" s="3"/>
      <c r="K148" s="3"/>
      <c r="L148" s="3"/>
    </row>
    <row r="149" spans="3:12" x14ac:dyDescent="0.25">
      <c r="C149" s="9"/>
      <c r="E149" s="3"/>
      <c r="F149" s="16"/>
      <c r="G149" s="17"/>
      <c r="H149" s="3"/>
      <c r="K149" s="3"/>
      <c r="L149" s="3"/>
    </row>
    <row r="150" spans="3:12" x14ac:dyDescent="0.25">
      <c r="C150" s="9"/>
      <c r="E150" s="3"/>
      <c r="F150" s="16"/>
      <c r="G150" s="17"/>
      <c r="H150" s="3"/>
      <c r="K150" s="3"/>
      <c r="L150" s="3"/>
    </row>
    <row r="151" spans="3:12" x14ac:dyDescent="0.25">
      <c r="C151" s="9"/>
      <c r="E151" s="3"/>
      <c r="F151" s="16"/>
      <c r="G151" s="17"/>
      <c r="H151" s="3"/>
      <c r="K151" s="3"/>
      <c r="L151" s="3"/>
    </row>
    <row r="152" spans="3:12" x14ac:dyDescent="0.25">
      <c r="C152" s="9"/>
      <c r="E152" s="3"/>
      <c r="F152" s="16"/>
      <c r="G152" s="17"/>
      <c r="H152" s="3"/>
      <c r="K152" s="3"/>
      <c r="L152" s="3"/>
    </row>
    <row r="153" spans="3:12" x14ac:dyDescent="0.25">
      <c r="C153" s="9"/>
      <c r="E153" s="3"/>
      <c r="F153" s="16"/>
      <c r="G153" s="17"/>
      <c r="H153" s="3"/>
      <c r="K153" s="3"/>
      <c r="L153" s="3"/>
    </row>
    <row r="154" spans="3:12" x14ac:dyDescent="0.25">
      <c r="C154" s="9"/>
      <c r="E154" s="3"/>
      <c r="F154" s="16"/>
      <c r="G154" s="17"/>
      <c r="H154" s="3"/>
      <c r="K154" s="3"/>
      <c r="L154" s="3"/>
    </row>
    <row r="155" spans="3:12" x14ac:dyDescent="0.25">
      <c r="C155" s="9"/>
      <c r="E155" s="3"/>
      <c r="F155" s="16"/>
      <c r="G155" s="17"/>
      <c r="H155" s="3"/>
      <c r="K155" s="3"/>
      <c r="L155" s="3"/>
    </row>
    <row r="156" spans="3:12" x14ac:dyDescent="0.25">
      <c r="C156" s="9"/>
      <c r="E156" s="3"/>
      <c r="F156" s="16"/>
      <c r="G156" s="17"/>
      <c r="H156" s="3"/>
      <c r="K156" s="3"/>
      <c r="L156" s="3"/>
    </row>
    <row r="157" spans="3:12" x14ac:dyDescent="0.25">
      <c r="C157" s="9"/>
      <c r="E157" s="3"/>
      <c r="F157" s="16"/>
      <c r="G157" s="17"/>
      <c r="H157" s="3"/>
      <c r="K157" s="3"/>
      <c r="L157" s="3"/>
    </row>
    <row r="158" spans="3:12" x14ac:dyDescent="0.25">
      <c r="C158" s="9"/>
      <c r="E158" s="3"/>
      <c r="F158" s="16"/>
      <c r="G158" s="17"/>
      <c r="H158" s="3"/>
      <c r="K158" s="3"/>
      <c r="L158" s="3"/>
    </row>
    <row r="159" spans="3:12" x14ac:dyDescent="0.25">
      <c r="C159" s="9"/>
      <c r="E159" s="3"/>
      <c r="F159" s="16"/>
      <c r="G159" s="17"/>
      <c r="H159" s="3"/>
      <c r="K159" s="3"/>
      <c r="L159" s="3"/>
    </row>
    <row r="160" spans="3:12" x14ac:dyDescent="0.25">
      <c r="C160" s="9"/>
      <c r="E160" s="3"/>
      <c r="F160" s="16"/>
      <c r="G160" s="17"/>
      <c r="H160" s="3"/>
      <c r="K160" s="3"/>
      <c r="L160" s="3"/>
    </row>
    <row r="161" spans="3:12" x14ac:dyDescent="0.25">
      <c r="C161" s="9"/>
      <c r="E161" s="3"/>
      <c r="F161" s="16"/>
      <c r="G161" s="17"/>
      <c r="H161" s="3"/>
      <c r="K161" s="3"/>
      <c r="L161" s="3"/>
    </row>
    <row r="162" spans="3:12" x14ac:dyDescent="0.25">
      <c r="C162" s="9"/>
      <c r="E162" s="3"/>
      <c r="F162" s="16"/>
      <c r="G162" s="17"/>
      <c r="H162" s="3"/>
      <c r="K162" s="3"/>
      <c r="L162" s="3"/>
    </row>
    <row r="163" spans="3:12" x14ac:dyDescent="0.25">
      <c r="C163" s="9"/>
      <c r="E163" s="3"/>
      <c r="F163" s="16"/>
      <c r="G163" s="17"/>
      <c r="H163" s="3"/>
      <c r="K163" s="3"/>
      <c r="L163" s="3"/>
    </row>
    <row r="164" spans="3:12" x14ac:dyDescent="0.25">
      <c r="C164" s="9"/>
      <c r="E164" s="3"/>
      <c r="F164" s="16"/>
      <c r="G164" s="17"/>
      <c r="H164" s="3"/>
      <c r="K164" s="3"/>
      <c r="L164" s="3"/>
    </row>
    <row r="165" spans="3:12" x14ac:dyDescent="0.25">
      <c r="C165" s="9"/>
      <c r="E165" s="3"/>
      <c r="F165" s="16"/>
      <c r="G165" s="17"/>
      <c r="H165" s="3"/>
      <c r="K165" s="3"/>
      <c r="L165" s="3"/>
    </row>
    <row r="166" spans="3:12" x14ac:dyDescent="0.25">
      <c r="C166" s="9"/>
      <c r="E166" s="3"/>
      <c r="F166" s="16"/>
      <c r="G166" s="17"/>
      <c r="H166" s="3"/>
      <c r="K166" s="3"/>
      <c r="L166" s="3"/>
    </row>
    <row r="167" spans="3:12" x14ac:dyDescent="0.25">
      <c r="C167" s="9"/>
      <c r="E167" s="3"/>
      <c r="F167" s="16"/>
      <c r="G167" s="17"/>
      <c r="H167" s="3"/>
      <c r="K167" s="3"/>
      <c r="L167" s="3"/>
    </row>
    <row r="168" spans="3:12" x14ac:dyDescent="0.25">
      <c r="C168" s="9"/>
      <c r="E168" s="3"/>
      <c r="F168" s="16"/>
      <c r="G168" s="17"/>
      <c r="H168" s="3"/>
      <c r="K168" s="3"/>
      <c r="L168" s="3"/>
    </row>
    <row r="169" spans="3:12" x14ac:dyDescent="0.25">
      <c r="C169" s="9"/>
      <c r="E169" s="3"/>
      <c r="F169" s="16"/>
      <c r="G169" s="17"/>
      <c r="H169" s="3"/>
      <c r="K169" s="3"/>
      <c r="L169" s="3"/>
    </row>
    <row r="170" spans="3:12" x14ac:dyDescent="0.25">
      <c r="C170" s="9"/>
      <c r="E170" s="3"/>
      <c r="F170" s="16"/>
      <c r="G170" s="17"/>
      <c r="H170" s="3"/>
      <c r="K170" s="3"/>
      <c r="L170" s="3"/>
    </row>
    <row r="171" spans="3:12" x14ac:dyDescent="0.25">
      <c r="C171" s="9"/>
      <c r="E171" s="3"/>
      <c r="F171" s="16"/>
      <c r="G171" s="17"/>
      <c r="H171" s="3"/>
      <c r="K171" s="3"/>
      <c r="L171" s="3"/>
    </row>
    <row r="172" spans="3:12" x14ac:dyDescent="0.25">
      <c r="C172" s="9"/>
      <c r="E172" s="3"/>
      <c r="F172" s="16"/>
      <c r="G172" s="17"/>
      <c r="H172" s="3"/>
      <c r="K172" s="3"/>
      <c r="L172" s="3"/>
    </row>
    <row r="173" spans="3:12" x14ac:dyDescent="0.25">
      <c r="C173" s="9"/>
      <c r="E173" s="3"/>
      <c r="F173" s="16"/>
      <c r="G173" s="17"/>
      <c r="H173" s="3"/>
      <c r="K173" s="3"/>
      <c r="L173" s="3"/>
    </row>
    <row r="174" spans="3:12" x14ac:dyDescent="0.25">
      <c r="C174" s="9"/>
      <c r="E174" s="3"/>
      <c r="F174" s="16"/>
      <c r="G174" s="17"/>
      <c r="H174" s="3"/>
      <c r="K174" s="3"/>
      <c r="L174" s="3"/>
    </row>
    <row r="175" spans="3:12" x14ac:dyDescent="0.25">
      <c r="C175" s="9"/>
      <c r="E175" s="3"/>
      <c r="F175" s="16"/>
      <c r="G175" s="17"/>
      <c r="H175" s="3"/>
      <c r="K175" s="3"/>
      <c r="L175" s="3"/>
    </row>
    <row r="176" spans="3:12" x14ac:dyDescent="0.25">
      <c r="C176" s="9"/>
      <c r="E176" s="3"/>
      <c r="F176" s="16"/>
      <c r="G176" s="17"/>
      <c r="H176" s="3"/>
      <c r="K176" s="3"/>
      <c r="L176" s="3"/>
    </row>
  </sheetData>
  <autoFilter ref="A1:N1" xr:uid="{61BC553B-CB35-451D-A71F-1BEB8AD3831C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6102-E1E6-4910-A6EE-3BC6415376A4}">
  <dimension ref="A1:G470"/>
  <sheetViews>
    <sheetView topLeftCell="C1" workbookViewId="0">
      <selection activeCell="F1" sqref="F1"/>
    </sheetView>
  </sheetViews>
  <sheetFormatPr defaultRowHeight="15" x14ac:dyDescent="0.25"/>
  <cols>
    <col min="1" max="1" width="9.140625" style="5"/>
    <col min="2" max="2" width="52.7109375" customWidth="1"/>
    <col min="3" max="3" width="12.140625" style="14" customWidth="1"/>
    <col min="4" max="4" width="36.7109375" customWidth="1"/>
    <col min="5" max="5" width="14" customWidth="1"/>
    <col min="6" max="6" width="37.42578125" customWidth="1"/>
  </cols>
  <sheetData>
    <row r="1" spans="1:7" x14ac:dyDescent="0.25">
      <c r="A1" s="15" t="s">
        <v>506</v>
      </c>
      <c r="B1" s="2" t="s">
        <v>507</v>
      </c>
      <c r="C1" s="13" t="s">
        <v>508</v>
      </c>
      <c r="D1" t="s">
        <v>509</v>
      </c>
      <c r="E1" s="4" t="s">
        <v>3</v>
      </c>
      <c r="F1" t="s">
        <v>933</v>
      </c>
    </row>
    <row r="2" spans="1:7" x14ac:dyDescent="0.25">
      <c r="A2" s="5" t="s">
        <v>234</v>
      </c>
      <c r="B2" s="7" t="s">
        <v>863</v>
      </c>
      <c r="C2" s="4" t="s">
        <v>562</v>
      </c>
      <c r="D2" t="s">
        <v>563</v>
      </c>
      <c r="E2" t="s">
        <v>934</v>
      </c>
      <c r="F2" t="str">
        <f t="shared" ref="F2:F65" si="0">PROPER(B2)</f>
        <v>Bpk Perwakilan  Provinsi Riau</v>
      </c>
      <c r="G2" t="s">
        <v>938</v>
      </c>
    </row>
    <row r="3" spans="1:7" x14ac:dyDescent="0.25">
      <c r="A3" s="5" t="s">
        <v>115</v>
      </c>
      <c r="B3" s="7" t="s">
        <v>622</v>
      </c>
      <c r="C3" s="4" t="s">
        <v>528</v>
      </c>
      <c r="D3" t="s">
        <v>529</v>
      </c>
      <c r="E3" t="s">
        <v>934</v>
      </c>
      <c r="F3" t="str">
        <f t="shared" si="0"/>
        <v>Pengadilan Negeri Pekanbaru</v>
      </c>
      <c r="G3" t="s">
        <v>932</v>
      </c>
    </row>
    <row r="4" spans="1:7" x14ac:dyDescent="0.25">
      <c r="A4" s="5" t="s">
        <v>80</v>
      </c>
      <c r="B4" s="7" t="s">
        <v>79</v>
      </c>
      <c r="C4" s="4" t="s">
        <v>528</v>
      </c>
      <c r="D4" t="s">
        <v>529</v>
      </c>
      <c r="E4" t="s">
        <v>935</v>
      </c>
      <c r="F4" t="str">
        <f t="shared" si="0"/>
        <v>Pengadilan Negeri Bengkalis</v>
      </c>
      <c r="G4" t="s">
        <v>932</v>
      </c>
    </row>
    <row r="5" spans="1:7" x14ac:dyDescent="0.25">
      <c r="A5" s="5" t="s">
        <v>16</v>
      </c>
      <c r="B5" s="7" t="s">
        <v>15</v>
      </c>
      <c r="C5" s="4" t="s">
        <v>528</v>
      </c>
      <c r="D5" t="s">
        <v>529</v>
      </c>
      <c r="E5" t="s">
        <v>936</v>
      </c>
      <c r="F5" t="str">
        <f t="shared" si="0"/>
        <v>Pengadilan Negeri Rengat/Indragiri</v>
      </c>
      <c r="G5" t="s">
        <v>932</v>
      </c>
    </row>
    <row r="6" spans="1:7" x14ac:dyDescent="0.25">
      <c r="A6" s="5" t="s">
        <v>53</v>
      </c>
      <c r="B6" s="7" t="s">
        <v>77</v>
      </c>
      <c r="C6" s="4" t="s">
        <v>528</v>
      </c>
      <c r="D6" t="s">
        <v>529</v>
      </c>
      <c r="E6" t="s">
        <v>936</v>
      </c>
      <c r="F6" t="str">
        <f t="shared" si="0"/>
        <v>Pengadilan Negeri Tembilahan</v>
      </c>
      <c r="G6" t="s">
        <v>932</v>
      </c>
    </row>
    <row r="7" spans="1:7" x14ac:dyDescent="0.25">
      <c r="A7" s="5" t="s">
        <v>88</v>
      </c>
      <c r="B7" s="7" t="s">
        <v>622</v>
      </c>
      <c r="C7" s="4" t="s">
        <v>528</v>
      </c>
      <c r="D7" t="s">
        <v>529</v>
      </c>
      <c r="E7" t="s">
        <v>934</v>
      </c>
      <c r="F7" t="str">
        <f t="shared" si="0"/>
        <v>Pengadilan Negeri Pekanbaru</v>
      </c>
      <c r="G7" t="s">
        <v>932</v>
      </c>
    </row>
    <row r="8" spans="1:7" x14ac:dyDescent="0.25">
      <c r="A8" s="5" t="s">
        <v>81</v>
      </c>
      <c r="B8" s="7" t="s">
        <v>79</v>
      </c>
      <c r="C8" s="4" t="s">
        <v>528</v>
      </c>
      <c r="D8" t="s">
        <v>529</v>
      </c>
      <c r="E8" t="s">
        <v>935</v>
      </c>
      <c r="F8" t="str">
        <f t="shared" si="0"/>
        <v>Pengadilan Negeri Bengkalis</v>
      </c>
      <c r="G8" t="s">
        <v>932</v>
      </c>
    </row>
    <row r="9" spans="1:7" x14ac:dyDescent="0.25">
      <c r="A9" s="5" t="s">
        <v>22</v>
      </c>
      <c r="B9" s="7" t="s">
        <v>15</v>
      </c>
      <c r="C9" s="4" t="s">
        <v>528</v>
      </c>
      <c r="D9" t="s">
        <v>529</v>
      </c>
      <c r="E9" t="s">
        <v>936</v>
      </c>
      <c r="F9" t="str">
        <f t="shared" si="0"/>
        <v>Pengadilan Negeri Rengat/Indragiri</v>
      </c>
      <c r="G9" t="s">
        <v>932</v>
      </c>
    </row>
    <row r="10" spans="1:7" x14ac:dyDescent="0.25">
      <c r="A10" s="5" t="s">
        <v>56</v>
      </c>
      <c r="B10" s="7" t="s">
        <v>77</v>
      </c>
      <c r="C10" s="4" t="s">
        <v>528</v>
      </c>
      <c r="D10" t="s">
        <v>529</v>
      </c>
      <c r="E10" t="s">
        <v>936</v>
      </c>
      <c r="F10" t="str">
        <f t="shared" si="0"/>
        <v>Pengadilan Negeri Tembilahan</v>
      </c>
      <c r="G10" t="s">
        <v>932</v>
      </c>
    </row>
    <row r="11" spans="1:7" x14ac:dyDescent="0.25">
      <c r="A11" s="5" t="s">
        <v>32</v>
      </c>
      <c r="B11" s="7" t="s">
        <v>33</v>
      </c>
      <c r="C11" s="4" t="s">
        <v>528</v>
      </c>
      <c r="D11" t="s">
        <v>529</v>
      </c>
      <c r="E11" t="s">
        <v>934</v>
      </c>
      <c r="F11" t="str">
        <f t="shared" si="0"/>
        <v>Pengadilan Negeri Bangkinang</v>
      </c>
      <c r="G11" t="s">
        <v>932</v>
      </c>
    </row>
    <row r="12" spans="1:7" x14ac:dyDescent="0.25">
      <c r="A12" s="5" t="s">
        <v>36</v>
      </c>
      <c r="B12" s="7" t="s">
        <v>33</v>
      </c>
      <c r="C12" s="4" t="s">
        <v>528</v>
      </c>
      <c r="D12" t="s">
        <v>529</v>
      </c>
      <c r="E12" t="s">
        <v>934</v>
      </c>
      <c r="F12" t="str">
        <f t="shared" si="0"/>
        <v>Pengadilan Negeri Bangkinang</v>
      </c>
      <c r="G12" t="s">
        <v>932</v>
      </c>
    </row>
    <row r="13" spans="1:7" x14ac:dyDescent="0.25">
      <c r="A13" s="5" t="s">
        <v>21</v>
      </c>
      <c r="B13" s="7" t="s">
        <v>13</v>
      </c>
      <c r="C13" s="4" t="s">
        <v>528</v>
      </c>
      <c r="D13" t="s">
        <v>529</v>
      </c>
      <c r="E13" t="s">
        <v>935</v>
      </c>
      <c r="F13" t="str">
        <f t="shared" si="0"/>
        <v>Pengadilan Negeri Dumai</v>
      </c>
      <c r="G13" t="s">
        <v>932</v>
      </c>
    </row>
    <row r="14" spans="1:7" x14ac:dyDescent="0.25">
      <c r="A14" s="5" t="s">
        <v>14</v>
      </c>
      <c r="B14" s="7" t="s">
        <v>13</v>
      </c>
      <c r="C14" s="4" t="s">
        <v>528</v>
      </c>
      <c r="D14" t="s">
        <v>529</v>
      </c>
      <c r="E14" t="s">
        <v>935</v>
      </c>
      <c r="F14" t="str">
        <f t="shared" si="0"/>
        <v>Pengadilan Negeri Dumai</v>
      </c>
      <c r="G14" t="s">
        <v>932</v>
      </c>
    </row>
    <row r="15" spans="1:7" x14ac:dyDescent="0.25">
      <c r="A15" s="5" t="s">
        <v>62</v>
      </c>
      <c r="B15" s="7" t="s">
        <v>75</v>
      </c>
      <c r="C15" s="4" t="s">
        <v>528</v>
      </c>
      <c r="D15" t="s">
        <v>529</v>
      </c>
      <c r="E15" t="s">
        <v>934</v>
      </c>
      <c r="F15" t="str">
        <f t="shared" si="0"/>
        <v>Pengadilan Tinggi Riau</v>
      </c>
      <c r="G15" t="s">
        <v>932</v>
      </c>
    </row>
    <row r="16" spans="1:7" x14ac:dyDescent="0.25">
      <c r="A16" s="5" t="s">
        <v>39</v>
      </c>
      <c r="B16" s="7" t="s">
        <v>75</v>
      </c>
      <c r="C16" s="4" t="s">
        <v>528</v>
      </c>
      <c r="D16" t="s">
        <v>529</v>
      </c>
      <c r="E16" t="s">
        <v>934</v>
      </c>
      <c r="F16" t="str">
        <f t="shared" si="0"/>
        <v>Pengadilan Tinggi Riau</v>
      </c>
      <c r="G16" t="s">
        <v>932</v>
      </c>
    </row>
    <row r="17" spans="1:7" x14ac:dyDescent="0.25">
      <c r="A17" s="5" t="s">
        <v>30</v>
      </c>
      <c r="B17" s="7" t="s">
        <v>31</v>
      </c>
      <c r="C17" s="4" t="s">
        <v>528</v>
      </c>
      <c r="D17" t="s">
        <v>529</v>
      </c>
      <c r="E17" t="s">
        <v>936</v>
      </c>
      <c r="F17" t="str">
        <f t="shared" si="0"/>
        <v>Pengadilan Negeri Teluk Kuantan</v>
      </c>
      <c r="G17" t="s">
        <v>932</v>
      </c>
    </row>
    <row r="18" spans="1:7" x14ac:dyDescent="0.25">
      <c r="A18" s="5" t="s">
        <v>65</v>
      </c>
      <c r="B18" s="7" t="s">
        <v>73</v>
      </c>
      <c r="C18" s="4" t="s">
        <v>528</v>
      </c>
      <c r="D18" t="s">
        <v>529</v>
      </c>
      <c r="E18" t="s">
        <v>934</v>
      </c>
      <c r="F18" t="str">
        <f t="shared" si="0"/>
        <v>Pengadilan Agama Siak Sri Indrapura</v>
      </c>
      <c r="G18" t="s">
        <v>932</v>
      </c>
    </row>
    <row r="19" spans="1:7" x14ac:dyDescent="0.25">
      <c r="A19" s="5" t="s">
        <v>130</v>
      </c>
      <c r="B19" s="7" t="s">
        <v>26</v>
      </c>
      <c r="C19" s="4" t="s">
        <v>528</v>
      </c>
      <c r="D19" t="s">
        <v>529</v>
      </c>
      <c r="E19" t="s">
        <v>936</v>
      </c>
      <c r="F19" t="str">
        <f t="shared" si="0"/>
        <v>Pengadilan Agama Teluk Kuantan</v>
      </c>
      <c r="G19" t="s">
        <v>932</v>
      </c>
    </row>
    <row r="20" spans="1:7" x14ac:dyDescent="0.25">
      <c r="A20" s="5" t="s">
        <v>131</v>
      </c>
      <c r="B20" s="7" t="s">
        <v>31</v>
      </c>
      <c r="C20" s="4" t="s">
        <v>528</v>
      </c>
      <c r="D20" t="s">
        <v>529</v>
      </c>
      <c r="E20" t="s">
        <v>936</v>
      </c>
      <c r="F20" t="str">
        <f t="shared" si="0"/>
        <v>Pengadilan Negeri Teluk Kuantan</v>
      </c>
      <c r="G20" t="s">
        <v>932</v>
      </c>
    </row>
    <row r="21" spans="1:7" x14ac:dyDescent="0.25">
      <c r="A21" s="5" t="s">
        <v>132</v>
      </c>
      <c r="B21" s="7" t="s">
        <v>70</v>
      </c>
      <c r="C21" s="4" t="s">
        <v>528</v>
      </c>
      <c r="D21" t="s">
        <v>529</v>
      </c>
      <c r="E21" t="s">
        <v>934</v>
      </c>
      <c r="F21" t="str">
        <f t="shared" si="0"/>
        <v>Pengadilan Agama Pekanbaru</v>
      </c>
      <c r="G21" t="s">
        <v>932</v>
      </c>
    </row>
    <row r="22" spans="1:7" x14ac:dyDescent="0.25">
      <c r="A22" s="5" t="s">
        <v>48</v>
      </c>
      <c r="B22" s="7" t="s">
        <v>70</v>
      </c>
      <c r="C22" s="4" t="s">
        <v>528</v>
      </c>
      <c r="D22" t="s">
        <v>529</v>
      </c>
      <c r="E22" t="s">
        <v>934</v>
      </c>
      <c r="F22" t="str">
        <f t="shared" si="0"/>
        <v>Pengadilan Agama Pekanbaru</v>
      </c>
      <c r="G22" t="s">
        <v>932</v>
      </c>
    </row>
    <row r="23" spans="1:7" x14ac:dyDescent="0.25">
      <c r="A23" s="5" t="s">
        <v>34</v>
      </c>
      <c r="B23" s="7" t="s">
        <v>35</v>
      </c>
      <c r="C23" s="4" t="s">
        <v>528</v>
      </c>
      <c r="D23" t="s">
        <v>529</v>
      </c>
      <c r="E23" t="s">
        <v>936</v>
      </c>
      <c r="F23" t="str">
        <f t="shared" si="0"/>
        <v>Pengadilan Agama Rengat</v>
      </c>
      <c r="G23" t="s">
        <v>932</v>
      </c>
    </row>
    <row r="24" spans="1:7" x14ac:dyDescent="0.25">
      <c r="A24" s="5" t="s">
        <v>40</v>
      </c>
      <c r="B24" s="7" t="s">
        <v>35</v>
      </c>
      <c r="C24" s="4" t="s">
        <v>528</v>
      </c>
      <c r="D24" t="s">
        <v>529</v>
      </c>
      <c r="E24" t="s">
        <v>936</v>
      </c>
      <c r="F24" t="str">
        <f t="shared" si="0"/>
        <v>Pengadilan Agama Rengat</v>
      </c>
      <c r="G24" t="s">
        <v>932</v>
      </c>
    </row>
    <row r="25" spans="1:7" x14ac:dyDescent="0.25">
      <c r="A25" s="5" t="s">
        <v>18</v>
      </c>
      <c r="B25" s="7" t="s">
        <v>17</v>
      </c>
      <c r="C25" s="4" t="s">
        <v>528</v>
      </c>
      <c r="D25" t="s">
        <v>529</v>
      </c>
      <c r="E25" t="s">
        <v>936</v>
      </c>
      <c r="F25" t="str">
        <f t="shared" si="0"/>
        <v>Pengadilan Agama Tembilahan</v>
      </c>
      <c r="G25" t="s">
        <v>932</v>
      </c>
    </row>
    <row r="26" spans="1:7" x14ac:dyDescent="0.25">
      <c r="A26" s="5" t="s">
        <v>37</v>
      </c>
      <c r="B26" s="7" t="s">
        <v>17</v>
      </c>
      <c r="C26" s="4" t="s">
        <v>528</v>
      </c>
      <c r="D26" t="s">
        <v>529</v>
      </c>
      <c r="E26" t="s">
        <v>936</v>
      </c>
      <c r="F26" t="str">
        <f t="shared" si="0"/>
        <v>Pengadilan Agama Tembilahan</v>
      </c>
      <c r="G26" t="s">
        <v>932</v>
      </c>
    </row>
    <row r="27" spans="1:7" x14ac:dyDescent="0.25">
      <c r="A27" s="5" t="s">
        <v>133</v>
      </c>
      <c r="B27" s="7" t="s">
        <v>628</v>
      </c>
      <c r="C27" s="4" t="s">
        <v>528</v>
      </c>
      <c r="D27" t="s">
        <v>529</v>
      </c>
      <c r="E27" t="s">
        <v>934</v>
      </c>
      <c r="F27" t="str">
        <f t="shared" si="0"/>
        <v>Pengadilan Agama Bangkinang</v>
      </c>
      <c r="G27" t="s">
        <v>932</v>
      </c>
    </row>
    <row r="28" spans="1:7" x14ac:dyDescent="0.25">
      <c r="A28" s="5" t="s">
        <v>134</v>
      </c>
      <c r="B28" s="7" t="s">
        <v>628</v>
      </c>
      <c r="C28" s="4" t="s">
        <v>528</v>
      </c>
      <c r="D28" t="s">
        <v>529</v>
      </c>
      <c r="E28" t="s">
        <v>934</v>
      </c>
      <c r="F28" t="str">
        <f t="shared" si="0"/>
        <v>Pengadilan Agama Bangkinang</v>
      </c>
      <c r="G28" t="s">
        <v>932</v>
      </c>
    </row>
    <row r="29" spans="1:7" x14ac:dyDescent="0.25">
      <c r="A29" s="5" t="s">
        <v>51</v>
      </c>
      <c r="B29" s="7" t="s">
        <v>71</v>
      </c>
      <c r="C29" s="4" t="s">
        <v>528</v>
      </c>
      <c r="D29" t="s">
        <v>529</v>
      </c>
      <c r="E29" t="s">
        <v>935</v>
      </c>
      <c r="F29" t="str">
        <f t="shared" si="0"/>
        <v>Pengadilan Agama Bengkalis</v>
      </c>
      <c r="G29" t="s">
        <v>932</v>
      </c>
    </row>
    <row r="30" spans="1:7" x14ac:dyDescent="0.25">
      <c r="A30" s="5" t="s">
        <v>52</v>
      </c>
      <c r="B30" s="7" t="s">
        <v>71</v>
      </c>
      <c r="C30" s="4" t="s">
        <v>528</v>
      </c>
      <c r="D30" t="s">
        <v>529</v>
      </c>
      <c r="E30" t="s">
        <v>935</v>
      </c>
      <c r="F30" t="str">
        <f t="shared" si="0"/>
        <v>Pengadilan Agama Bengkalis</v>
      </c>
      <c r="G30" t="s">
        <v>932</v>
      </c>
    </row>
    <row r="31" spans="1:7" x14ac:dyDescent="0.25">
      <c r="A31" s="5" t="s">
        <v>68</v>
      </c>
      <c r="B31" s="7" t="s">
        <v>629</v>
      </c>
      <c r="C31" s="4" t="s">
        <v>528</v>
      </c>
      <c r="D31" t="s">
        <v>529</v>
      </c>
      <c r="E31" t="s">
        <v>934</v>
      </c>
      <c r="F31" t="str">
        <f t="shared" si="0"/>
        <v>Pengadilan Agama Pasir Pangarayan</v>
      </c>
      <c r="G31" t="s">
        <v>932</v>
      </c>
    </row>
    <row r="32" spans="1:7" x14ac:dyDescent="0.25">
      <c r="A32" s="5" t="s">
        <v>64</v>
      </c>
      <c r="B32" s="7" t="s">
        <v>629</v>
      </c>
      <c r="C32" s="4" t="s">
        <v>528</v>
      </c>
      <c r="D32" t="s">
        <v>529</v>
      </c>
      <c r="E32" t="s">
        <v>934</v>
      </c>
      <c r="F32" t="str">
        <f t="shared" si="0"/>
        <v>Pengadilan Agama Pasir Pangarayan</v>
      </c>
      <c r="G32" t="s">
        <v>932</v>
      </c>
    </row>
    <row r="33" spans="1:7" x14ac:dyDescent="0.25">
      <c r="A33" s="5" t="s">
        <v>66</v>
      </c>
      <c r="B33" s="7" t="s">
        <v>74</v>
      </c>
      <c r="C33" s="4" t="s">
        <v>528</v>
      </c>
      <c r="D33" t="s">
        <v>529</v>
      </c>
      <c r="E33" t="s">
        <v>935</v>
      </c>
      <c r="F33" t="str">
        <f t="shared" si="0"/>
        <v>Pengadilan Agama Selat Panjang</v>
      </c>
      <c r="G33" t="s">
        <v>932</v>
      </c>
    </row>
    <row r="34" spans="1:7" x14ac:dyDescent="0.25">
      <c r="A34" s="5" t="s">
        <v>67</v>
      </c>
      <c r="B34" s="7" t="s">
        <v>74</v>
      </c>
      <c r="C34" s="4" t="s">
        <v>528</v>
      </c>
      <c r="D34" t="s">
        <v>529</v>
      </c>
      <c r="E34" t="s">
        <v>935</v>
      </c>
      <c r="F34" t="str">
        <f t="shared" si="0"/>
        <v>Pengadilan Agama Selat Panjang</v>
      </c>
      <c r="G34" t="s">
        <v>932</v>
      </c>
    </row>
    <row r="35" spans="1:7" x14ac:dyDescent="0.25">
      <c r="A35" s="5" t="s">
        <v>47</v>
      </c>
      <c r="B35" s="7" t="s">
        <v>19</v>
      </c>
      <c r="C35" s="4" t="s">
        <v>528</v>
      </c>
      <c r="D35" t="s">
        <v>529</v>
      </c>
      <c r="E35" t="s">
        <v>935</v>
      </c>
      <c r="F35" t="str">
        <f t="shared" si="0"/>
        <v>Pengadilan Agama Dumai</v>
      </c>
      <c r="G35" t="s">
        <v>932</v>
      </c>
    </row>
    <row r="36" spans="1:7" x14ac:dyDescent="0.25">
      <c r="A36" s="5" t="s">
        <v>20</v>
      </c>
      <c r="B36" s="7" t="s">
        <v>19</v>
      </c>
      <c r="C36" s="4" t="s">
        <v>528</v>
      </c>
      <c r="D36" t="s">
        <v>529</v>
      </c>
      <c r="E36" t="s">
        <v>935</v>
      </c>
      <c r="F36" t="str">
        <f t="shared" si="0"/>
        <v>Pengadilan Agama Dumai</v>
      </c>
      <c r="G36" t="s">
        <v>932</v>
      </c>
    </row>
    <row r="37" spans="1:7" x14ac:dyDescent="0.25">
      <c r="A37" s="5" t="s">
        <v>46</v>
      </c>
      <c r="B37" s="7" t="s">
        <v>45</v>
      </c>
      <c r="C37" s="4" t="s">
        <v>528</v>
      </c>
      <c r="D37" t="s">
        <v>529</v>
      </c>
      <c r="E37" t="s">
        <v>934</v>
      </c>
      <c r="F37" t="str">
        <f t="shared" si="0"/>
        <v>Pengadilan Tinggi Agama Pekanbaru</v>
      </c>
      <c r="G37" t="s">
        <v>932</v>
      </c>
    </row>
    <row r="38" spans="1:7" x14ac:dyDescent="0.25">
      <c r="A38" s="5" t="s">
        <v>135</v>
      </c>
      <c r="B38" s="7" t="s">
        <v>45</v>
      </c>
      <c r="C38" s="4" t="s">
        <v>528</v>
      </c>
      <c r="D38" t="s">
        <v>529</v>
      </c>
      <c r="E38" t="s">
        <v>934</v>
      </c>
      <c r="F38" t="str">
        <f t="shared" si="0"/>
        <v>Pengadilan Tinggi Agama Pekanbaru</v>
      </c>
      <c r="G38" t="s">
        <v>932</v>
      </c>
    </row>
    <row r="39" spans="1:7" x14ac:dyDescent="0.25">
      <c r="A39" s="5" t="s">
        <v>44</v>
      </c>
      <c r="B39" s="7" t="s">
        <v>73</v>
      </c>
      <c r="C39" s="4" t="s">
        <v>528</v>
      </c>
      <c r="D39" t="s">
        <v>529</v>
      </c>
      <c r="E39" t="s">
        <v>934</v>
      </c>
      <c r="F39" t="str">
        <f t="shared" si="0"/>
        <v>Pengadilan Agama Siak Sri Indrapura</v>
      </c>
      <c r="G39" t="s">
        <v>932</v>
      </c>
    </row>
    <row r="40" spans="1:7" x14ac:dyDescent="0.25">
      <c r="A40" s="5" t="s">
        <v>27</v>
      </c>
      <c r="B40" s="7" t="s">
        <v>26</v>
      </c>
      <c r="C40" s="4" t="s">
        <v>528</v>
      </c>
      <c r="D40" t="s">
        <v>529</v>
      </c>
      <c r="E40" t="s">
        <v>936</v>
      </c>
      <c r="F40" t="str">
        <f t="shared" si="0"/>
        <v>Pengadilan Agama Teluk Kuantan</v>
      </c>
      <c r="G40" t="s">
        <v>932</v>
      </c>
    </row>
    <row r="41" spans="1:7" x14ac:dyDescent="0.25">
      <c r="A41" s="5" t="s">
        <v>235</v>
      </c>
      <c r="B41" s="7" t="s">
        <v>681</v>
      </c>
      <c r="C41" s="4" t="s">
        <v>528</v>
      </c>
      <c r="D41" t="s">
        <v>529</v>
      </c>
      <c r="E41" t="s">
        <v>934</v>
      </c>
      <c r="F41" t="str">
        <f t="shared" si="0"/>
        <v>Pengadilan Negeri Pelalawan</v>
      </c>
      <c r="G41" t="s">
        <v>932</v>
      </c>
    </row>
    <row r="42" spans="1:7" x14ac:dyDescent="0.25">
      <c r="A42" s="5" t="s">
        <v>236</v>
      </c>
      <c r="B42" s="7" t="s">
        <v>681</v>
      </c>
      <c r="C42" s="4" t="s">
        <v>528</v>
      </c>
      <c r="D42" t="s">
        <v>529</v>
      </c>
      <c r="E42" t="s">
        <v>934</v>
      </c>
      <c r="F42" t="str">
        <f t="shared" si="0"/>
        <v>Pengadilan Negeri Pelalawan</v>
      </c>
      <c r="G42" t="s">
        <v>932</v>
      </c>
    </row>
    <row r="43" spans="1:7" x14ac:dyDescent="0.25">
      <c r="A43" s="5" t="s">
        <v>43</v>
      </c>
      <c r="B43" s="7" t="s">
        <v>78</v>
      </c>
      <c r="C43" s="4" t="s">
        <v>528</v>
      </c>
      <c r="D43" t="s">
        <v>529</v>
      </c>
      <c r="E43" t="s">
        <v>935</v>
      </c>
      <c r="F43" t="str">
        <f t="shared" si="0"/>
        <v>Pengadilan Negeri Rokan Hilir</v>
      </c>
      <c r="G43" t="s">
        <v>932</v>
      </c>
    </row>
    <row r="44" spans="1:7" x14ac:dyDescent="0.25">
      <c r="A44" s="5" t="s">
        <v>49</v>
      </c>
      <c r="B44" s="7" t="s">
        <v>78</v>
      </c>
      <c r="C44" s="4" t="s">
        <v>528</v>
      </c>
      <c r="D44" t="s">
        <v>529</v>
      </c>
      <c r="E44" t="s">
        <v>935</v>
      </c>
      <c r="F44" t="str">
        <f t="shared" si="0"/>
        <v>Pengadilan Negeri Rokan Hilir</v>
      </c>
      <c r="G44" t="s">
        <v>932</v>
      </c>
    </row>
    <row r="45" spans="1:7" x14ac:dyDescent="0.25">
      <c r="A45" s="5" t="s">
        <v>237</v>
      </c>
      <c r="B45" s="7" t="s">
        <v>682</v>
      </c>
      <c r="C45" s="4" t="s">
        <v>528</v>
      </c>
      <c r="D45" t="s">
        <v>529</v>
      </c>
      <c r="E45" t="s">
        <v>934</v>
      </c>
      <c r="F45" t="str">
        <f t="shared" si="0"/>
        <v>Pengadilan Negeri Siak Sri Indrapura</v>
      </c>
      <c r="G45" t="s">
        <v>932</v>
      </c>
    </row>
    <row r="46" spans="1:7" x14ac:dyDescent="0.25">
      <c r="A46" s="5" t="s">
        <v>238</v>
      </c>
      <c r="B46" s="7" t="s">
        <v>682</v>
      </c>
      <c r="C46" s="4" t="s">
        <v>528</v>
      </c>
      <c r="D46" t="s">
        <v>529</v>
      </c>
      <c r="E46" t="s">
        <v>934</v>
      </c>
      <c r="F46" t="str">
        <f t="shared" si="0"/>
        <v>Pengadilan Negeri Siak Sri Indrapura</v>
      </c>
      <c r="G46" t="s">
        <v>932</v>
      </c>
    </row>
    <row r="47" spans="1:7" x14ac:dyDescent="0.25">
      <c r="A47" s="5" t="s">
        <v>12</v>
      </c>
      <c r="B47" s="7" t="s">
        <v>717</v>
      </c>
      <c r="C47" s="4" t="s">
        <v>528</v>
      </c>
      <c r="D47" t="s">
        <v>529</v>
      </c>
      <c r="E47" t="s">
        <v>934</v>
      </c>
      <c r="F47" t="str">
        <f t="shared" si="0"/>
        <v>Pengadilan Tata Usaha Negara Pekan Baru</v>
      </c>
      <c r="G47" t="s">
        <v>932</v>
      </c>
    </row>
    <row r="48" spans="1:7" x14ac:dyDescent="0.25">
      <c r="A48" s="5" t="s">
        <v>23</v>
      </c>
      <c r="B48" s="7" t="s">
        <v>717</v>
      </c>
      <c r="C48" s="4" t="s">
        <v>528</v>
      </c>
      <c r="D48" t="s">
        <v>529</v>
      </c>
      <c r="E48" t="s">
        <v>934</v>
      </c>
      <c r="F48" t="str">
        <f t="shared" si="0"/>
        <v>Pengadilan Tata Usaha Negara Pekan Baru</v>
      </c>
      <c r="G48" t="s">
        <v>932</v>
      </c>
    </row>
    <row r="49" spans="1:7" x14ac:dyDescent="0.25">
      <c r="A49" s="5" t="s">
        <v>38</v>
      </c>
      <c r="B49" s="7" t="s">
        <v>76</v>
      </c>
      <c r="C49" s="4" t="s">
        <v>528</v>
      </c>
      <c r="D49" t="s">
        <v>529</v>
      </c>
      <c r="E49" t="s">
        <v>934</v>
      </c>
      <c r="F49" t="str">
        <f t="shared" si="0"/>
        <v>Pengadilan Agama Pangkalan Kerinci</v>
      </c>
      <c r="G49" t="s">
        <v>932</v>
      </c>
    </row>
    <row r="50" spans="1:7" x14ac:dyDescent="0.25">
      <c r="A50" s="5" t="s">
        <v>50</v>
      </c>
      <c r="B50" s="7" t="s">
        <v>76</v>
      </c>
      <c r="C50" s="4" t="s">
        <v>528</v>
      </c>
      <c r="D50" t="s">
        <v>529</v>
      </c>
      <c r="E50" t="s">
        <v>934</v>
      </c>
      <c r="F50" t="str">
        <f t="shared" si="0"/>
        <v>Pengadilan Agama Pangkalan Kerinci</v>
      </c>
      <c r="G50" t="s">
        <v>932</v>
      </c>
    </row>
    <row r="51" spans="1:7" x14ac:dyDescent="0.25">
      <c r="A51" s="5" t="s">
        <v>60</v>
      </c>
      <c r="B51" s="7" t="s">
        <v>72</v>
      </c>
      <c r="C51" s="4" t="s">
        <v>528</v>
      </c>
      <c r="D51" t="s">
        <v>529</v>
      </c>
      <c r="E51" t="s">
        <v>935</v>
      </c>
      <c r="F51" t="str">
        <f t="shared" si="0"/>
        <v>Pengadilan Agama Ujung Tanjung</v>
      </c>
      <c r="G51" t="s">
        <v>932</v>
      </c>
    </row>
    <row r="52" spans="1:7" x14ac:dyDescent="0.25">
      <c r="A52" s="5" t="s">
        <v>57</v>
      </c>
      <c r="B52" s="7" t="s">
        <v>72</v>
      </c>
      <c r="C52" s="4" t="s">
        <v>528</v>
      </c>
      <c r="D52" t="s">
        <v>529</v>
      </c>
      <c r="E52" t="s">
        <v>935</v>
      </c>
      <c r="F52" t="str">
        <f t="shared" si="0"/>
        <v>Pengadilan Agama Ujung Tanjung</v>
      </c>
      <c r="G52" t="s">
        <v>932</v>
      </c>
    </row>
    <row r="53" spans="1:7" x14ac:dyDescent="0.25">
      <c r="A53" s="5" t="s">
        <v>28</v>
      </c>
      <c r="B53" s="7" t="s">
        <v>24</v>
      </c>
      <c r="C53" s="4" t="s">
        <v>528</v>
      </c>
      <c r="D53" t="s">
        <v>529</v>
      </c>
      <c r="E53" t="s">
        <v>934</v>
      </c>
      <c r="F53" t="str">
        <f t="shared" si="0"/>
        <v>Pengadilan Negeri Pasir Pangaraian</v>
      </c>
      <c r="G53" t="s">
        <v>932</v>
      </c>
    </row>
    <row r="54" spans="1:7" x14ac:dyDescent="0.25">
      <c r="A54" s="5" t="s">
        <v>25</v>
      </c>
      <c r="B54" s="7" t="s">
        <v>24</v>
      </c>
      <c r="C54" s="4" t="s">
        <v>528</v>
      </c>
      <c r="D54" t="s">
        <v>529</v>
      </c>
      <c r="E54" t="s">
        <v>934</v>
      </c>
      <c r="F54" t="str">
        <f t="shared" si="0"/>
        <v>Pengadilan Negeri Pasir Pangaraian</v>
      </c>
      <c r="G54" t="s">
        <v>932</v>
      </c>
    </row>
    <row r="55" spans="1:7" x14ac:dyDescent="0.25">
      <c r="A55" s="5" t="s">
        <v>89</v>
      </c>
      <c r="B55" s="7" t="s">
        <v>604</v>
      </c>
      <c r="C55" s="4" t="s">
        <v>510</v>
      </c>
      <c r="D55" t="s">
        <v>511</v>
      </c>
      <c r="E55" t="s">
        <v>934</v>
      </c>
      <c r="F55" t="str">
        <f t="shared" si="0"/>
        <v>Kejaksaan Tinggi Riau</v>
      </c>
      <c r="G55" t="s">
        <v>939</v>
      </c>
    </row>
    <row r="56" spans="1:7" x14ac:dyDescent="0.25">
      <c r="A56" s="5" t="s">
        <v>90</v>
      </c>
      <c r="B56" s="7" t="s">
        <v>605</v>
      </c>
      <c r="C56" s="4" t="s">
        <v>510</v>
      </c>
      <c r="D56" t="s">
        <v>511</v>
      </c>
      <c r="E56" t="s">
        <v>934</v>
      </c>
      <c r="F56" t="str">
        <f t="shared" si="0"/>
        <v>Kejaksaan Negeri Pekanbaru</v>
      </c>
      <c r="G56" t="s">
        <v>939</v>
      </c>
    </row>
    <row r="57" spans="1:7" x14ac:dyDescent="0.25">
      <c r="A57" s="5" t="s">
        <v>91</v>
      </c>
      <c r="B57" s="7" t="s">
        <v>606</v>
      </c>
      <c r="C57" s="4" t="s">
        <v>510</v>
      </c>
      <c r="D57" t="s">
        <v>511</v>
      </c>
      <c r="E57" t="s">
        <v>935</v>
      </c>
      <c r="F57" t="str">
        <f t="shared" si="0"/>
        <v>Kejaksaan Negeri Bengkalis</v>
      </c>
      <c r="G57" t="s">
        <v>939</v>
      </c>
    </row>
    <row r="58" spans="1:7" x14ac:dyDescent="0.25">
      <c r="A58" s="5" t="s">
        <v>92</v>
      </c>
      <c r="B58" s="7" t="s">
        <v>607</v>
      </c>
      <c r="C58" s="4" t="s">
        <v>510</v>
      </c>
      <c r="D58" t="s">
        <v>511</v>
      </c>
      <c r="E58" t="s">
        <v>936</v>
      </c>
      <c r="F58" t="str">
        <f t="shared" si="0"/>
        <v>Kejaksaan Negeri Indragiri Hulu</v>
      </c>
      <c r="G58" t="s">
        <v>939</v>
      </c>
    </row>
    <row r="59" spans="1:7" x14ac:dyDescent="0.25">
      <c r="A59" s="5" t="s">
        <v>93</v>
      </c>
      <c r="B59" s="7" t="s">
        <v>608</v>
      </c>
      <c r="C59" s="4" t="s">
        <v>510</v>
      </c>
      <c r="D59" t="s">
        <v>511</v>
      </c>
      <c r="E59" t="s">
        <v>936</v>
      </c>
      <c r="F59" t="str">
        <f t="shared" si="0"/>
        <v>Kejaksaan Negeri Indragiri Hilir</v>
      </c>
      <c r="G59" t="s">
        <v>939</v>
      </c>
    </row>
    <row r="60" spans="1:7" x14ac:dyDescent="0.25">
      <c r="A60" s="5" t="s">
        <v>94</v>
      </c>
      <c r="B60" s="7" t="s">
        <v>609</v>
      </c>
      <c r="C60" s="4" t="s">
        <v>510</v>
      </c>
      <c r="D60" t="s">
        <v>511</v>
      </c>
      <c r="E60" t="s">
        <v>934</v>
      </c>
      <c r="F60" t="str">
        <f t="shared" si="0"/>
        <v>Kejaksaan Negeri Kampar</v>
      </c>
      <c r="G60" t="s">
        <v>939</v>
      </c>
    </row>
    <row r="61" spans="1:7" x14ac:dyDescent="0.25">
      <c r="A61" s="5" t="s">
        <v>95</v>
      </c>
      <c r="B61" s="7" t="s">
        <v>610</v>
      </c>
      <c r="C61" s="4" t="s">
        <v>510</v>
      </c>
      <c r="D61" t="s">
        <v>511</v>
      </c>
      <c r="E61" t="s">
        <v>935</v>
      </c>
      <c r="F61" t="str">
        <f t="shared" si="0"/>
        <v>Kejaksaan Negeri Dumai</v>
      </c>
      <c r="G61" t="s">
        <v>939</v>
      </c>
    </row>
    <row r="62" spans="1:7" x14ac:dyDescent="0.25">
      <c r="A62" s="5" t="s">
        <v>96</v>
      </c>
      <c r="B62" s="7" t="s">
        <v>611</v>
      </c>
      <c r="C62" s="4" t="s">
        <v>510</v>
      </c>
      <c r="D62" t="s">
        <v>511</v>
      </c>
      <c r="E62" t="s">
        <v>935</v>
      </c>
      <c r="F62" t="str">
        <f t="shared" si="0"/>
        <v>Kejaksaan Negeri Kepulauan Meranti</v>
      </c>
      <c r="G62" t="s">
        <v>939</v>
      </c>
    </row>
    <row r="63" spans="1:7" x14ac:dyDescent="0.25">
      <c r="A63" s="5" t="s">
        <v>97</v>
      </c>
      <c r="B63" s="7" t="s">
        <v>612</v>
      </c>
      <c r="C63" s="4" t="s">
        <v>510</v>
      </c>
      <c r="D63" t="s">
        <v>511</v>
      </c>
      <c r="E63" t="s">
        <v>934</v>
      </c>
      <c r="F63" t="str">
        <f t="shared" si="0"/>
        <v>Kejaksaan Negeri Rokan Hulu</v>
      </c>
      <c r="G63" t="s">
        <v>939</v>
      </c>
    </row>
    <row r="64" spans="1:7" x14ac:dyDescent="0.25">
      <c r="A64" s="5" t="s">
        <v>98</v>
      </c>
      <c r="B64" s="7" t="s">
        <v>613</v>
      </c>
      <c r="C64" s="4" t="s">
        <v>510</v>
      </c>
      <c r="D64" t="s">
        <v>511</v>
      </c>
      <c r="E64" t="s">
        <v>934</v>
      </c>
      <c r="F64" t="str">
        <f t="shared" si="0"/>
        <v>Kejaksaan Negeri Siak</v>
      </c>
      <c r="G64" t="s">
        <v>939</v>
      </c>
    </row>
    <row r="65" spans="1:7" x14ac:dyDescent="0.25">
      <c r="A65" s="5" t="s">
        <v>99</v>
      </c>
      <c r="B65" s="7" t="s">
        <v>614</v>
      </c>
      <c r="C65" s="4" t="s">
        <v>510</v>
      </c>
      <c r="D65" t="s">
        <v>511</v>
      </c>
      <c r="E65" t="s">
        <v>936</v>
      </c>
      <c r="F65" t="str">
        <f t="shared" si="0"/>
        <v>Kejaksaan Negeri Kuantan Singingi</v>
      </c>
      <c r="G65" t="s">
        <v>939</v>
      </c>
    </row>
    <row r="66" spans="1:7" x14ac:dyDescent="0.25">
      <c r="A66" s="5" t="s">
        <v>290</v>
      </c>
      <c r="B66" s="7" t="s">
        <v>725</v>
      </c>
      <c r="C66" s="4" t="s">
        <v>510</v>
      </c>
      <c r="D66" t="s">
        <v>511</v>
      </c>
      <c r="E66" t="s">
        <v>935</v>
      </c>
      <c r="F66" t="str">
        <f t="shared" ref="F66:F129" si="1">PROPER(B66)</f>
        <v>Kejaksaan Negeri Rokan Hilir</v>
      </c>
      <c r="G66" t="s">
        <v>939</v>
      </c>
    </row>
    <row r="67" spans="1:7" x14ac:dyDescent="0.25">
      <c r="A67" s="5" t="s">
        <v>291</v>
      </c>
      <c r="B67" s="7" t="s">
        <v>726</v>
      </c>
      <c r="C67" s="4" t="s">
        <v>510</v>
      </c>
      <c r="D67" t="s">
        <v>511</v>
      </c>
      <c r="E67" t="s">
        <v>934</v>
      </c>
      <c r="F67" t="str">
        <f t="shared" si="1"/>
        <v>Kejaksaan Negeri Pelalawan</v>
      </c>
      <c r="G67" t="s">
        <v>939</v>
      </c>
    </row>
    <row r="68" spans="1:7" x14ac:dyDescent="0.25">
      <c r="A68" s="5" t="s">
        <v>427</v>
      </c>
      <c r="B68" s="7" t="s">
        <v>615</v>
      </c>
      <c r="C68" s="4" t="s">
        <v>518</v>
      </c>
      <c r="D68" t="s">
        <v>519</v>
      </c>
      <c r="E68" t="s">
        <v>934</v>
      </c>
      <c r="F68" t="str">
        <f t="shared" si="1"/>
        <v>Satuan Polisi Pamong Praja Riau</v>
      </c>
      <c r="G68" t="s">
        <v>940</v>
      </c>
    </row>
    <row r="69" spans="1:7" x14ac:dyDescent="0.25">
      <c r="A69" s="5" t="s">
        <v>428</v>
      </c>
      <c r="B69" s="7" t="s">
        <v>623</v>
      </c>
      <c r="C69" s="4" t="s">
        <v>518</v>
      </c>
      <c r="D69" t="s">
        <v>519</v>
      </c>
      <c r="E69" t="s">
        <v>934</v>
      </c>
      <c r="F69" t="str">
        <f t="shared" si="1"/>
        <v>Badan Penanggulangan Bencana Daerah Prov. Riau</v>
      </c>
      <c r="G69" t="s">
        <v>940</v>
      </c>
    </row>
    <row r="70" spans="1:7" x14ac:dyDescent="0.25">
      <c r="A70" s="5" t="s">
        <v>54</v>
      </c>
      <c r="B70" s="7" t="s">
        <v>55</v>
      </c>
      <c r="C70" s="4" t="s">
        <v>518</v>
      </c>
      <c r="D70" t="s">
        <v>519</v>
      </c>
      <c r="E70" t="s">
        <v>934</v>
      </c>
      <c r="F70" t="str">
        <f t="shared" si="1"/>
        <v>Sekretariat Daerah Provinsi Riau</v>
      </c>
      <c r="G70" t="s">
        <v>940</v>
      </c>
    </row>
    <row r="71" spans="1:7" x14ac:dyDescent="0.25">
      <c r="A71" s="5" t="s">
        <v>231</v>
      </c>
      <c r="B71" s="7" t="s">
        <v>836</v>
      </c>
      <c r="C71" s="4" t="s">
        <v>518</v>
      </c>
      <c r="D71" t="s">
        <v>519</v>
      </c>
      <c r="E71" t="s">
        <v>934</v>
      </c>
      <c r="F71" t="str">
        <f t="shared" si="1"/>
        <v>Dinas Penanaman Modal Dan Pelayanan Terpadu Satu Pintu Provinsi Riau</v>
      </c>
      <c r="G71" t="s">
        <v>940</v>
      </c>
    </row>
    <row r="72" spans="1:7" x14ac:dyDescent="0.25">
      <c r="A72" s="5" t="s">
        <v>11</v>
      </c>
      <c r="B72" s="7" t="s">
        <v>10</v>
      </c>
      <c r="C72" s="4" t="s">
        <v>518</v>
      </c>
      <c r="D72" t="s">
        <v>519</v>
      </c>
      <c r="E72" t="s">
        <v>934</v>
      </c>
      <c r="F72" t="str">
        <f t="shared" si="1"/>
        <v>Bappeda Provinsi Riau</v>
      </c>
      <c r="G72" t="s">
        <v>940</v>
      </c>
    </row>
    <row r="73" spans="1:7" x14ac:dyDescent="0.25">
      <c r="A73" s="5" t="s">
        <v>240</v>
      </c>
      <c r="B73" s="7" t="s">
        <v>684</v>
      </c>
      <c r="C73" s="4" t="s">
        <v>518</v>
      </c>
      <c r="D73" t="s">
        <v>519</v>
      </c>
      <c r="E73" t="s">
        <v>934</v>
      </c>
      <c r="F73" t="str">
        <f t="shared" si="1"/>
        <v>Inspektorat Provinsi Riau</v>
      </c>
      <c r="G73" t="s">
        <v>940</v>
      </c>
    </row>
    <row r="74" spans="1:7" x14ac:dyDescent="0.25">
      <c r="A74" s="5" t="s">
        <v>84</v>
      </c>
      <c r="B74" s="7" t="s">
        <v>626</v>
      </c>
      <c r="C74" s="4" t="s">
        <v>540</v>
      </c>
      <c r="D74" t="s">
        <v>541</v>
      </c>
      <c r="E74" t="s">
        <v>935</v>
      </c>
      <c r="F74" t="str">
        <f t="shared" si="1"/>
        <v>Lanal Dumai</v>
      </c>
      <c r="G74" t="s">
        <v>82</v>
      </c>
    </row>
    <row r="75" spans="1:7" x14ac:dyDescent="0.25">
      <c r="A75" s="5" t="s">
        <v>129</v>
      </c>
      <c r="B75" s="7" t="s">
        <v>627</v>
      </c>
      <c r="C75" s="4" t="s">
        <v>540</v>
      </c>
      <c r="D75" t="s">
        <v>541</v>
      </c>
      <c r="E75" t="s">
        <v>934</v>
      </c>
      <c r="F75" t="str">
        <f t="shared" si="1"/>
        <v>Lanud  Roesmin  Nurjadin</v>
      </c>
      <c r="G75" t="s">
        <v>82</v>
      </c>
    </row>
    <row r="76" spans="1:7" x14ac:dyDescent="0.25">
      <c r="A76" s="5" t="s">
        <v>406</v>
      </c>
      <c r="B76" s="7" t="s">
        <v>922</v>
      </c>
      <c r="C76" s="4" t="s">
        <v>540</v>
      </c>
      <c r="D76" t="s">
        <v>541</v>
      </c>
      <c r="E76" t="s">
        <v>934</v>
      </c>
      <c r="F76" t="str">
        <f t="shared" si="1"/>
        <v>Kodim 0301/Pekanbaru</v>
      </c>
      <c r="G76" t="s">
        <v>82</v>
      </c>
    </row>
    <row r="77" spans="1:7" x14ac:dyDescent="0.25">
      <c r="A77" s="5" t="s">
        <v>85</v>
      </c>
      <c r="B77" s="7" t="s">
        <v>923</v>
      </c>
      <c r="C77" s="4" t="s">
        <v>540</v>
      </c>
      <c r="D77" t="s">
        <v>541</v>
      </c>
      <c r="E77" t="s">
        <v>934</v>
      </c>
      <c r="F77" t="str">
        <f t="shared" si="1"/>
        <v>Korem-031/Wb Dam-I/Bb</v>
      </c>
      <c r="G77" t="s">
        <v>82</v>
      </c>
    </row>
    <row r="78" spans="1:7" x14ac:dyDescent="0.25">
      <c r="A78" s="5" t="s">
        <v>125</v>
      </c>
      <c r="B78" s="7" t="s">
        <v>624</v>
      </c>
      <c r="C78" s="4" t="s">
        <v>536</v>
      </c>
      <c r="D78" t="s">
        <v>537</v>
      </c>
      <c r="E78" t="s">
        <v>934</v>
      </c>
      <c r="F78" t="str">
        <f t="shared" si="1"/>
        <v>Kantor Pelayanan Pajak Pratama Pekanbaru Senapelan</v>
      </c>
      <c r="G78" t="s">
        <v>941</v>
      </c>
    </row>
    <row r="79" spans="1:7" x14ac:dyDescent="0.25">
      <c r="A79" s="5" t="s">
        <v>139</v>
      </c>
      <c r="B79" s="7" t="s">
        <v>632</v>
      </c>
      <c r="C79" s="4" t="s">
        <v>536</v>
      </c>
      <c r="D79" t="s">
        <v>537</v>
      </c>
      <c r="E79" t="s">
        <v>934</v>
      </c>
      <c r="F79" t="str">
        <f t="shared" si="1"/>
        <v>Kantor Pelayanan Pajak Pratama Bangkinang</v>
      </c>
      <c r="G79" t="s">
        <v>941</v>
      </c>
    </row>
    <row r="80" spans="1:7" x14ac:dyDescent="0.25">
      <c r="A80" s="5" t="s">
        <v>140</v>
      </c>
      <c r="B80" s="7" t="s">
        <v>633</v>
      </c>
      <c r="C80" s="4" t="s">
        <v>536</v>
      </c>
      <c r="D80" t="s">
        <v>537</v>
      </c>
      <c r="E80" t="s">
        <v>935</v>
      </c>
      <c r="F80" t="str">
        <f t="shared" si="1"/>
        <v>Kantor Pelayanan Pajak Pratama Dumai</v>
      </c>
      <c r="G80" t="s">
        <v>941</v>
      </c>
    </row>
    <row r="81" spans="1:7" x14ac:dyDescent="0.25">
      <c r="A81" s="5" t="s">
        <v>141</v>
      </c>
      <c r="B81" s="7" t="s">
        <v>634</v>
      </c>
      <c r="C81" s="4" t="s">
        <v>536</v>
      </c>
      <c r="D81" t="s">
        <v>537</v>
      </c>
      <c r="E81" t="s">
        <v>936</v>
      </c>
      <c r="F81" t="str">
        <f t="shared" si="1"/>
        <v>Kantor Pelayanan Pajak Pratama Rengat</v>
      </c>
      <c r="G81" t="s">
        <v>941</v>
      </c>
    </row>
    <row r="82" spans="1:7" x14ac:dyDescent="0.25">
      <c r="A82" s="5" t="s">
        <v>142</v>
      </c>
      <c r="B82" s="7" t="s">
        <v>835</v>
      </c>
      <c r="C82" s="4" t="s">
        <v>536</v>
      </c>
      <c r="D82" t="s">
        <v>537</v>
      </c>
      <c r="E82" t="s">
        <v>934</v>
      </c>
      <c r="F82" t="str">
        <f t="shared" si="1"/>
        <v>Kantor Wilayah Djp Riau</v>
      </c>
      <c r="G82" t="s">
        <v>941</v>
      </c>
    </row>
    <row r="83" spans="1:7" x14ac:dyDescent="0.25">
      <c r="A83" s="5" t="s">
        <v>143</v>
      </c>
      <c r="B83" s="7" t="s">
        <v>837</v>
      </c>
      <c r="C83" s="4" t="s">
        <v>536</v>
      </c>
      <c r="D83" t="s">
        <v>537</v>
      </c>
      <c r="E83" t="s">
        <v>935</v>
      </c>
      <c r="F83" t="str">
        <f t="shared" si="1"/>
        <v>Kantor Pengawasan Dan Pelayanan Bc Dumai</v>
      </c>
      <c r="G83" t="s">
        <v>941</v>
      </c>
    </row>
    <row r="84" spans="1:7" x14ac:dyDescent="0.25">
      <c r="A84" s="5" t="s">
        <v>144</v>
      </c>
      <c r="B84" s="7" t="s">
        <v>838</v>
      </c>
      <c r="C84" s="4" t="s">
        <v>536</v>
      </c>
      <c r="D84" t="s">
        <v>537</v>
      </c>
      <c r="E84" t="s">
        <v>934</v>
      </c>
      <c r="F84" t="str">
        <f t="shared" si="1"/>
        <v>Kantor Pengawasan Dan Pelayanan Bc Pekanbaru</v>
      </c>
      <c r="G84" t="s">
        <v>941</v>
      </c>
    </row>
    <row r="85" spans="1:7" x14ac:dyDescent="0.25">
      <c r="A85" s="5" t="s">
        <v>145</v>
      </c>
      <c r="B85" s="7" t="s">
        <v>839</v>
      </c>
      <c r="C85" s="4" t="s">
        <v>536</v>
      </c>
      <c r="D85" t="s">
        <v>537</v>
      </c>
      <c r="E85" t="s">
        <v>935</v>
      </c>
      <c r="F85" t="str">
        <f t="shared" si="1"/>
        <v>Kantor Pengawasan Dan Pelayanan Bc Bengkalis</v>
      </c>
      <c r="G85" t="s">
        <v>941</v>
      </c>
    </row>
    <row r="86" spans="1:7" x14ac:dyDescent="0.25">
      <c r="A86" s="5" t="s">
        <v>233</v>
      </c>
      <c r="B86" s="7" t="s">
        <v>680</v>
      </c>
      <c r="C86" s="4" t="s">
        <v>536</v>
      </c>
      <c r="D86" t="s">
        <v>537</v>
      </c>
      <c r="E86" t="s">
        <v>934</v>
      </c>
      <c r="F86" t="str">
        <f t="shared" si="1"/>
        <v>Kantor Pelayanan Pajak Madya Pekanbaru</v>
      </c>
      <c r="G86" t="s">
        <v>941</v>
      </c>
    </row>
    <row r="87" spans="1:7" x14ac:dyDescent="0.25">
      <c r="A87" s="5" t="s">
        <v>242</v>
      </c>
      <c r="B87" s="7" t="s">
        <v>874</v>
      </c>
      <c r="C87" s="4" t="s">
        <v>536</v>
      </c>
      <c r="D87" t="s">
        <v>537</v>
      </c>
      <c r="E87" t="s">
        <v>934</v>
      </c>
      <c r="F87" t="str">
        <f t="shared" si="1"/>
        <v>Kanwil Djkn Riau, Sumatera Barat Dan Kepulauan Riau</v>
      </c>
      <c r="G87" t="s">
        <v>941</v>
      </c>
    </row>
    <row r="88" spans="1:7" x14ac:dyDescent="0.25">
      <c r="A88" s="5" t="s">
        <v>243</v>
      </c>
      <c r="B88" s="7" t="s">
        <v>850</v>
      </c>
      <c r="C88" s="4" t="s">
        <v>536</v>
      </c>
      <c r="D88" t="s">
        <v>537</v>
      </c>
      <c r="E88" t="s">
        <v>935</v>
      </c>
      <c r="F88" t="str">
        <f t="shared" si="1"/>
        <v>Kantor Pelayanan Kekayaan Negara Dan Lelang  Dumai</v>
      </c>
      <c r="G88" t="s">
        <v>941</v>
      </c>
    </row>
    <row r="89" spans="1:7" x14ac:dyDescent="0.25">
      <c r="A89" s="5" t="s">
        <v>247</v>
      </c>
      <c r="B89" s="7" t="s">
        <v>687</v>
      </c>
      <c r="C89" s="4" t="s">
        <v>536</v>
      </c>
      <c r="D89" t="s">
        <v>537</v>
      </c>
      <c r="E89" t="s">
        <v>934</v>
      </c>
      <c r="F89" t="str">
        <f t="shared" si="1"/>
        <v>Kantor Pelayanan Perbendaharaan Negara Pekanbaru</v>
      </c>
      <c r="G89" t="s">
        <v>941</v>
      </c>
    </row>
    <row r="90" spans="1:7" x14ac:dyDescent="0.25">
      <c r="A90" s="5" t="s">
        <v>248</v>
      </c>
      <c r="B90" s="7" t="s">
        <v>688</v>
      </c>
      <c r="C90" s="4" t="s">
        <v>536</v>
      </c>
      <c r="D90" t="s">
        <v>537</v>
      </c>
      <c r="E90" t="s">
        <v>936</v>
      </c>
      <c r="F90" t="str">
        <f t="shared" si="1"/>
        <v>Kantor Pelayanan Perbendaharaan Negara Rengat</v>
      </c>
      <c r="G90" t="s">
        <v>941</v>
      </c>
    </row>
    <row r="91" spans="1:7" x14ac:dyDescent="0.25">
      <c r="A91" s="5" t="s">
        <v>249</v>
      </c>
      <c r="B91" s="7" t="s">
        <v>689</v>
      </c>
      <c r="C91" s="4" t="s">
        <v>536</v>
      </c>
      <c r="D91" t="s">
        <v>537</v>
      </c>
      <c r="E91" t="s">
        <v>935</v>
      </c>
      <c r="F91" t="str">
        <f t="shared" si="1"/>
        <v>Kantor Pelayanan Perbendaharaan Negara Dumai</v>
      </c>
      <c r="G91" t="s">
        <v>941</v>
      </c>
    </row>
    <row r="92" spans="1:7" x14ac:dyDescent="0.25">
      <c r="A92" s="5" t="s">
        <v>255</v>
      </c>
      <c r="B92" s="7" t="s">
        <v>852</v>
      </c>
      <c r="C92" s="4" t="s">
        <v>536</v>
      </c>
      <c r="D92" t="s">
        <v>537</v>
      </c>
      <c r="E92" t="s">
        <v>934</v>
      </c>
      <c r="F92" t="str">
        <f t="shared" si="1"/>
        <v>Kantor Pelayanan Kekayaan Negara Dan Lelang Pekanbaru</v>
      </c>
      <c r="G92" t="s">
        <v>941</v>
      </c>
    </row>
    <row r="93" spans="1:7" x14ac:dyDescent="0.25">
      <c r="A93" s="5" t="s">
        <v>282</v>
      </c>
      <c r="B93" s="7" t="s">
        <v>721</v>
      </c>
      <c r="C93" s="4" t="s">
        <v>536</v>
      </c>
      <c r="D93" t="s">
        <v>537</v>
      </c>
      <c r="E93" t="s">
        <v>934</v>
      </c>
      <c r="F93" t="str">
        <f t="shared" si="1"/>
        <v>Kanwil Ditjen Perbendaharaan Provinsi Riau</v>
      </c>
      <c r="G93" t="s">
        <v>941</v>
      </c>
    </row>
    <row r="94" spans="1:7" x14ac:dyDescent="0.25">
      <c r="A94" s="5" t="s">
        <v>317</v>
      </c>
      <c r="B94" s="7" t="s">
        <v>732</v>
      </c>
      <c r="C94" s="4" t="s">
        <v>536</v>
      </c>
      <c r="D94" t="s">
        <v>537</v>
      </c>
      <c r="E94" t="s">
        <v>934</v>
      </c>
      <c r="F94" t="str">
        <f t="shared" si="1"/>
        <v>Kantor Pelayanan Pajak Pratama Pekanbaru Tampan</v>
      </c>
      <c r="G94" t="s">
        <v>941</v>
      </c>
    </row>
    <row r="95" spans="1:7" x14ac:dyDescent="0.25">
      <c r="A95" s="5" t="s">
        <v>318</v>
      </c>
      <c r="B95" s="7" t="s">
        <v>733</v>
      </c>
      <c r="C95" s="4" t="s">
        <v>536</v>
      </c>
      <c r="D95" t="s">
        <v>537</v>
      </c>
      <c r="E95" t="s">
        <v>935</v>
      </c>
      <c r="F95" t="str">
        <f t="shared" si="1"/>
        <v>Kantor Pelayanan Pajak Pratama Bengkalis</v>
      </c>
      <c r="G95" t="s">
        <v>941</v>
      </c>
    </row>
    <row r="96" spans="1:7" x14ac:dyDescent="0.25">
      <c r="A96" s="5" t="s">
        <v>377</v>
      </c>
      <c r="B96" s="7" t="s">
        <v>776</v>
      </c>
      <c r="C96" s="4" t="s">
        <v>536</v>
      </c>
      <c r="D96" t="s">
        <v>537</v>
      </c>
      <c r="E96" t="s">
        <v>934</v>
      </c>
      <c r="F96" t="str">
        <f t="shared" si="1"/>
        <v>Kantor Pelayanan Pajak Pratama Pangkalan Kerinci</v>
      </c>
      <c r="G96" t="s">
        <v>941</v>
      </c>
    </row>
    <row r="97" spans="1:7" x14ac:dyDescent="0.25">
      <c r="A97" s="5" t="s">
        <v>379</v>
      </c>
      <c r="B97" s="7" t="s">
        <v>917</v>
      </c>
      <c r="C97" s="4" t="s">
        <v>536</v>
      </c>
      <c r="D97" t="s">
        <v>537</v>
      </c>
      <c r="E97" t="s">
        <v>934</v>
      </c>
      <c r="F97" t="str">
        <f t="shared" si="1"/>
        <v>Kantor Wilayah Djbc Riau</v>
      </c>
      <c r="G97" t="s">
        <v>941</v>
      </c>
    </row>
    <row r="98" spans="1:7" x14ac:dyDescent="0.25">
      <c r="A98" s="5" t="s">
        <v>380</v>
      </c>
      <c r="B98" s="7" t="s">
        <v>918</v>
      </c>
      <c r="C98" s="4" t="s">
        <v>536</v>
      </c>
      <c r="D98" t="s">
        <v>537</v>
      </c>
      <c r="E98" t="s">
        <v>936</v>
      </c>
      <c r="F98" t="str">
        <f t="shared" si="1"/>
        <v>Kantor Pengawasan Dan Pelayanan Bc Tembilahan</v>
      </c>
      <c r="G98" t="s">
        <v>941</v>
      </c>
    </row>
    <row r="99" spans="1:7" x14ac:dyDescent="0.25">
      <c r="A99" s="5" t="s">
        <v>390</v>
      </c>
      <c r="B99" s="7" t="s">
        <v>784</v>
      </c>
      <c r="C99" s="4" t="s">
        <v>536</v>
      </c>
      <c r="D99" t="s">
        <v>537</v>
      </c>
      <c r="E99" t="s">
        <v>934</v>
      </c>
      <c r="F99" t="str">
        <f t="shared" si="1"/>
        <v>Balai Diklat Keuangan Pekanbaru</v>
      </c>
      <c r="G99" t="s">
        <v>941</v>
      </c>
    </row>
    <row r="100" spans="1:7" x14ac:dyDescent="0.25">
      <c r="A100" s="5" t="s">
        <v>117</v>
      </c>
      <c r="B100" s="7" t="s">
        <v>830</v>
      </c>
      <c r="C100" s="4" t="s">
        <v>532</v>
      </c>
      <c r="D100" t="s">
        <v>533</v>
      </c>
      <c r="E100" t="s">
        <v>934</v>
      </c>
      <c r="F100" t="str">
        <f t="shared" si="1"/>
        <v>Dinas Pangan, Tanaman Pangan Dan Hortikultura Provinsi Riau</v>
      </c>
      <c r="G100" t="s">
        <v>937</v>
      </c>
    </row>
    <row r="101" spans="1:7" x14ac:dyDescent="0.25">
      <c r="A101" s="5" t="s">
        <v>118</v>
      </c>
      <c r="B101" s="7" t="s">
        <v>830</v>
      </c>
      <c r="C101" s="4" t="s">
        <v>532</v>
      </c>
      <c r="D101" t="s">
        <v>533</v>
      </c>
      <c r="E101" t="s">
        <v>934</v>
      </c>
      <c r="F101" t="str">
        <f t="shared" si="1"/>
        <v>Dinas Pangan, Tanaman Pangan Dan Hortikultura Provinsi Riau</v>
      </c>
      <c r="G101" t="s">
        <v>937</v>
      </c>
    </row>
    <row r="102" spans="1:7" x14ac:dyDescent="0.25">
      <c r="A102" s="5" t="s">
        <v>119</v>
      </c>
      <c r="B102" s="7" t="s">
        <v>830</v>
      </c>
      <c r="C102" s="4" t="s">
        <v>532</v>
      </c>
      <c r="D102" t="s">
        <v>533</v>
      </c>
      <c r="E102" t="s">
        <v>934</v>
      </c>
      <c r="F102" t="str">
        <f t="shared" si="1"/>
        <v>Dinas Pangan, Tanaman Pangan Dan Hortikultura Provinsi Riau</v>
      </c>
      <c r="G102" t="s">
        <v>937</v>
      </c>
    </row>
    <row r="103" spans="1:7" x14ac:dyDescent="0.25">
      <c r="A103" s="5" t="s">
        <v>120</v>
      </c>
      <c r="B103" s="7" t="s">
        <v>9</v>
      </c>
      <c r="C103" s="4" t="s">
        <v>532</v>
      </c>
      <c r="D103" t="s">
        <v>533</v>
      </c>
      <c r="E103" t="s">
        <v>934</v>
      </c>
      <c r="F103" t="str">
        <f t="shared" si="1"/>
        <v>Dinas Peternakan Dan Kesehatan Hewan Provinsi Riau</v>
      </c>
      <c r="G103" t="s">
        <v>937</v>
      </c>
    </row>
    <row r="104" spans="1:7" x14ac:dyDescent="0.25">
      <c r="A104" s="5" t="s">
        <v>121</v>
      </c>
      <c r="B104" s="7" t="s">
        <v>830</v>
      </c>
      <c r="C104" s="4" t="s">
        <v>532</v>
      </c>
      <c r="D104" t="s">
        <v>533</v>
      </c>
      <c r="E104" t="s">
        <v>934</v>
      </c>
      <c r="F104" t="str">
        <f t="shared" si="1"/>
        <v>Dinas Pangan, Tanaman Pangan Dan Hortikultura Provinsi Riau</v>
      </c>
      <c r="G104" t="s">
        <v>937</v>
      </c>
    </row>
    <row r="105" spans="1:7" x14ac:dyDescent="0.25">
      <c r="A105" s="5" t="s">
        <v>124</v>
      </c>
      <c r="B105" s="7" t="s">
        <v>830</v>
      </c>
      <c r="C105" s="4" t="s">
        <v>532</v>
      </c>
      <c r="D105" t="s">
        <v>533</v>
      </c>
      <c r="E105" t="s">
        <v>934</v>
      </c>
      <c r="F105" t="str">
        <f t="shared" si="1"/>
        <v>Dinas Pangan, Tanaman Pangan Dan Hortikultura Provinsi Riau</v>
      </c>
      <c r="G105" t="s">
        <v>937</v>
      </c>
    </row>
    <row r="106" spans="1:7" x14ac:dyDescent="0.25">
      <c r="A106" s="5" t="s">
        <v>42</v>
      </c>
      <c r="B106" s="7" t="s">
        <v>41</v>
      </c>
      <c r="C106" s="4" t="s">
        <v>532</v>
      </c>
      <c r="D106" t="s">
        <v>533</v>
      </c>
      <c r="E106" t="s">
        <v>934</v>
      </c>
      <c r="F106" t="str">
        <f t="shared" si="1"/>
        <v>Balai Penerapan Standar Instrumen Pertanian Riau</v>
      </c>
      <c r="G106" t="s">
        <v>937</v>
      </c>
    </row>
    <row r="107" spans="1:7" x14ac:dyDescent="0.25">
      <c r="A107" s="5" t="s">
        <v>158</v>
      </c>
      <c r="B107" s="7" t="s">
        <v>847</v>
      </c>
      <c r="C107" s="4" t="s">
        <v>546</v>
      </c>
      <c r="D107" t="s">
        <v>547</v>
      </c>
      <c r="E107" t="s">
        <v>934</v>
      </c>
      <c r="F107" t="str">
        <f t="shared" si="1"/>
        <v>Balai Standardisasi Dan Pelayanan Jasa Industri Pekanbaru</v>
      </c>
      <c r="G107" t="s">
        <v>942</v>
      </c>
    </row>
    <row r="108" spans="1:7" x14ac:dyDescent="0.25">
      <c r="A108" s="5" t="s">
        <v>414</v>
      </c>
      <c r="B108" s="7" t="s">
        <v>855</v>
      </c>
      <c r="C108" s="4" t="s">
        <v>546</v>
      </c>
      <c r="D108" t="s">
        <v>547</v>
      </c>
      <c r="E108" t="s">
        <v>934</v>
      </c>
      <c r="F108" t="str">
        <f t="shared" si="1"/>
        <v>Dinas Perindustrian, Perdagangan, Koperasi, Usaha Kecil Dan Menengah Provinsi Riau</v>
      </c>
      <c r="G108" t="s">
        <v>942</v>
      </c>
    </row>
    <row r="109" spans="1:7" x14ac:dyDescent="0.25">
      <c r="A109" s="5" t="s">
        <v>126</v>
      </c>
      <c r="B109" s="7" t="s">
        <v>832</v>
      </c>
      <c r="C109" s="4" t="s">
        <v>538</v>
      </c>
      <c r="D109" t="s">
        <v>539</v>
      </c>
      <c r="E109" t="s">
        <v>936</v>
      </c>
      <c r="F109" t="str">
        <f t="shared" si="1"/>
        <v>Kantor Upbu Japura</v>
      </c>
      <c r="G109" t="s">
        <v>943</v>
      </c>
    </row>
    <row r="110" spans="1:7" x14ac:dyDescent="0.25">
      <c r="A110" s="5" t="s">
        <v>127</v>
      </c>
      <c r="B110" s="7" t="s">
        <v>833</v>
      </c>
      <c r="C110" s="4" t="s">
        <v>538</v>
      </c>
      <c r="D110" t="s">
        <v>539</v>
      </c>
      <c r="E110" t="s">
        <v>935</v>
      </c>
      <c r="F110" t="str">
        <f t="shared" si="1"/>
        <v>Kantor Kesyahbandaran Dan Otoritas Pelabuhan Tanjung Buton</v>
      </c>
      <c r="G110" t="s">
        <v>943</v>
      </c>
    </row>
    <row r="111" spans="1:7" x14ac:dyDescent="0.25">
      <c r="A111" s="5" t="s">
        <v>137</v>
      </c>
      <c r="B111" s="7" t="s">
        <v>631</v>
      </c>
      <c r="C111" s="4" t="s">
        <v>538</v>
      </c>
      <c r="D111" t="s">
        <v>539</v>
      </c>
      <c r="E111" t="s">
        <v>934</v>
      </c>
      <c r="F111" t="str">
        <f t="shared" si="1"/>
        <v>Balai Pengelola Transportasi Darat Riau</v>
      </c>
      <c r="G111" t="s">
        <v>943</v>
      </c>
    </row>
    <row r="112" spans="1:7" x14ac:dyDescent="0.25">
      <c r="A112" s="5" t="s">
        <v>146</v>
      </c>
      <c r="B112" s="7" t="s">
        <v>840</v>
      </c>
      <c r="C112" s="4" t="s">
        <v>538</v>
      </c>
      <c r="D112" t="s">
        <v>539</v>
      </c>
      <c r="E112" t="s">
        <v>935</v>
      </c>
      <c r="F112" t="str">
        <f t="shared" si="1"/>
        <v>Kantor Kesyahbandaran Dan Otoritas Pelabuhan Dumai</v>
      </c>
      <c r="G112" t="s">
        <v>943</v>
      </c>
    </row>
    <row r="113" spans="1:7" x14ac:dyDescent="0.25">
      <c r="A113" s="5" t="s">
        <v>147</v>
      </c>
      <c r="B113" s="7" t="s">
        <v>890</v>
      </c>
      <c r="C113" s="4" t="s">
        <v>538</v>
      </c>
      <c r="D113" t="s">
        <v>539</v>
      </c>
      <c r="E113" t="s">
        <v>934</v>
      </c>
      <c r="F113" t="str">
        <f t="shared" si="1"/>
        <v>Kantor Kesyahbandaran Dan Otoritas Pelabuhan Kelas Ii Pekanbaru</v>
      </c>
      <c r="G113" t="s">
        <v>943</v>
      </c>
    </row>
    <row r="114" spans="1:7" x14ac:dyDescent="0.25">
      <c r="A114" s="5" t="s">
        <v>148</v>
      </c>
      <c r="B114" s="7" t="s">
        <v>841</v>
      </c>
      <c r="C114" s="4" t="s">
        <v>538</v>
      </c>
      <c r="D114" t="s">
        <v>539</v>
      </c>
      <c r="E114" t="s">
        <v>935</v>
      </c>
      <c r="F114" t="str">
        <f t="shared" si="1"/>
        <v>Kantor Kesyahbandaran Dan Otoritas Pelabuhan Bengkalis</v>
      </c>
      <c r="G114" t="s">
        <v>943</v>
      </c>
    </row>
    <row r="115" spans="1:7" x14ac:dyDescent="0.25">
      <c r="A115" s="5" t="s">
        <v>149</v>
      </c>
      <c r="B115" s="7" t="s">
        <v>842</v>
      </c>
      <c r="C115" s="4" t="s">
        <v>538</v>
      </c>
      <c r="D115" t="s">
        <v>539</v>
      </c>
      <c r="E115" t="s">
        <v>935</v>
      </c>
      <c r="F115" t="str">
        <f t="shared" si="1"/>
        <v>Kantor Kesyahbandaran Dan Otoritas Pelabuhan Bagan Siapi-Api</v>
      </c>
      <c r="G115" t="s">
        <v>943</v>
      </c>
    </row>
    <row r="116" spans="1:7" x14ac:dyDescent="0.25">
      <c r="A116" s="5" t="s">
        <v>150</v>
      </c>
      <c r="B116" s="7" t="s">
        <v>843</v>
      </c>
      <c r="C116" s="4" t="s">
        <v>538</v>
      </c>
      <c r="D116" t="s">
        <v>539</v>
      </c>
      <c r="E116" t="s">
        <v>935</v>
      </c>
      <c r="F116" t="str">
        <f t="shared" si="1"/>
        <v>Kantor Kesyahbandaran Dan Otoritas Pelabuhan Selat Panjang</v>
      </c>
      <c r="G116" t="s">
        <v>943</v>
      </c>
    </row>
    <row r="117" spans="1:7" x14ac:dyDescent="0.25">
      <c r="A117" s="5" t="s">
        <v>151</v>
      </c>
      <c r="B117" s="7" t="s">
        <v>844</v>
      </c>
      <c r="C117" s="4" t="s">
        <v>538</v>
      </c>
      <c r="D117" t="s">
        <v>539</v>
      </c>
      <c r="E117" t="s">
        <v>936</v>
      </c>
      <c r="F117" t="str">
        <f t="shared" si="1"/>
        <v>Kantor Kesyahbandaran Dan Otoritas Pelabuhan Kuala Cinaku</v>
      </c>
      <c r="G117" t="s">
        <v>943</v>
      </c>
    </row>
    <row r="118" spans="1:7" x14ac:dyDescent="0.25">
      <c r="A118" s="5" t="s">
        <v>152</v>
      </c>
      <c r="B118" s="7" t="s">
        <v>845</v>
      </c>
      <c r="C118" s="4" t="s">
        <v>538</v>
      </c>
      <c r="D118" t="s">
        <v>539</v>
      </c>
      <c r="E118" t="s">
        <v>936</v>
      </c>
      <c r="F118" t="str">
        <f t="shared" si="1"/>
        <v>Kantor Kesyahbandaran Dan Otoritas Pelabuhan Tembilahan</v>
      </c>
      <c r="G118" t="s">
        <v>943</v>
      </c>
    </row>
    <row r="119" spans="1:7" x14ac:dyDescent="0.25">
      <c r="A119" s="5" t="s">
        <v>153</v>
      </c>
      <c r="B119" s="7" t="s">
        <v>861</v>
      </c>
      <c r="C119" s="4" t="s">
        <v>538</v>
      </c>
      <c r="D119" t="s">
        <v>539</v>
      </c>
      <c r="E119" t="s">
        <v>935</v>
      </c>
      <c r="F119" t="str">
        <f t="shared" si="1"/>
        <v>Distrik Navigasi Dumai</v>
      </c>
      <c r="G119" t="s">
        <v>943</v>
      </c>
    </row>
    <row r="120" spans="1:7" x14ac:dyDescent="0.25">
      <c r="A120" s="5" t="s">
        <v>241</v>
      </c>
      <c r="B120" s="7" t="s">
        <v>864</v>
      </c>
      <c r="C120" s="4" t="s">
        <v>538</v>
      </c>
      <c r="D120" t="s">
        <v>539</v>
      </c>
      <c r="E120" t="s">
        <v>934</v>
      </c>
      <c r="F120" t="str">
        <f t="shared" si="1"/>
        <v>Kantor Upbu Tuanku Tambusai</v>
      </c>
      <c r="G120" t="s">
        <v>943</v>
      </c>
    </row>
    <row r="121" spans="1:7" x14ac:dyDescent="0.25">
      <c r="A121" s="5" t="s">
        <v>244</v>
      </c>
      <c r="B121" s="7" t="s">
        <v>851</v>
      </c>
      <c r="C121" s="4" t="s">
        <v>538</v>
      </c>
      <c r="D121" t="s">
        <v>539</v>
      </c>
      <c r="E121" t="s">
        <v>936</v>
      </c>
      <c r="F121" t="str">
        <f t="shared" si="1"/>
        <v>Kantor Kesyahbandaran Dan Otoritas Pelabuhan  Kuala Enok</v>
      </c>
      <c r="G121" t="s">
        <v>943</v>
      </c>
    </row>
    <row r="122" spans="1:7" x14ac:dyDescent="0.25">
      <c r="A122" s="5" t="s">
        <v>245</v>
      </c>
      <c r="B122" s="7" t="s">
        <v>685</v>
      </c>
      <c r="C122" s="4" t="s">
        <v>538</v>
      </c>
      <c r="D122" t="s">
        <v>539</v>
      </c>
      <c r="E122" t="s">
        <v>936</v>
      </c>
      <c r="F122" t="str">
        <f t="shared" si="1"/>
        <v>Unit Penyelenggara Pelabuhan Kuala Gaung</v>
      </c>
      <c r="G122" t="s">
        <v>943</v>
      </c>
    </row>
    <row r="123" spans="1:7" x14ac:dyDescent="0.25">
      <c r="A123" s="5" t="s">
        <v>246</v>
      </c>
      <c r="B123" s="7" t="s">
        <v>686</v>
      </c>
      <c r="C123" s="4" t="s">
        <v>538</v>
      </c>
      <c r="D123" t="s">
        <v>539</v>
      </c>
      <c r="E123" t="s">
        <v>935</v>
      </c>
      <c r="F123" t="str">
        <f t="shared" si="1"/>
        <v>Unit Penyelenggara Pelabuhan Panipahan</v>
      </c>
      <c r="G123" t="s">
        <v>943</v>
      </c>
    </row>
    <row r="124" spans="1:7" x14ac:dyDescent="0.25">
      <c r="A124" s="5" t="s">
        <v>264</v>
      </c>
      <c r="B124" s="7" t="s">
        <v>703</v>
      </c>
      <c r="C124" s="4" t="s">
        <v>538</v>
      </c>
      <c r="D124" t="s">
        <v>539</v>
      </c>
      <c r="E124" t="s">
        <v>936</v>
      </c>
      <c r="F124" t="str">
        <f t="shared" si="1"/>
        <v>Unit Penyelenggara Pelabuhan Sungai Guntung</v>
      </c>
      <c r="G124" t="s">
        <v>943</v>
      </c>
    </row>
    <row r="125" spans="1:7" x14ac:dyDescent="0.25">
      <c r="A125" s="5" t="s">
        <v>265</v>
      </c>
      <c r="B125" s="7" t="s">
        <v>704</v>
      </c>
      <c r="C125" s="4" t="s">
        <v>538</v>
      </c>
      <c r="D125" t="s">
        <v>539</v>
      </c>
      <c r="E125" t="s">
        <v>935</v>
      </c>
      <c r="F125" t="str">
        <f t="shared" si="1"/>
        <v>Unit Penyelenggara Pelabuhan Tanjung Medang</v>
      </c>
      <c r="G125" t="s">
        <v>943</v>
      </c>
    </row>
    <row r="126" spans="1:7" x14ac:dyDescent="0.25">
      <c r="A126" s="5" t="s">
        <v>155</v>
      </c>
      <c r="B126" s="7" t="s">
        <v>635</v>
      </c>
      <c r="C126" s="4" t="s">
        <v>544</v>
      </c>
      <c r="D126" t="s">
        <v>545</v>
      </c>
      <c r="E126" t="s">
        <v>935</v>
      </c>
      <c r="F126" t="str">
        <f t="shared" si="1"/>
        <v>Balai Kekarantinaan Kesehatan Kelas I Dumai</v>
      </c>
      <c r="G126" t="s">
        <v>944</v>
      </c>
    </row>
    <row r="127" spans="1:7" x14ac:dyDescent="0.25">
      <c r="A127" s="5" t="s">
        <v>156</v>
      </c>
      <c r="B127" s="7" t="s">
        <v>862</v>
      </c>
      <c r="C127" s="4" t="s">
        <v>544</v>
      </c>
      <c r="D127" t="s">
        <v>545</v>
      </c>
      <c r="E127" t="s">
        <v>936</v>
      </c>
      <c r="F127" t="str">
        <f t="shared" si="1"/>
        <v>Balai Kekarantinaan Kesehatan Kelas Ii Tembilahan</v>
      </c>
      <c r="G127" t="s">
        <v>944</v>
      </c>
    </row>
    <row r="128" spans="1:7" x14ac:dyDescent="0.25">
      <c r="A128" s="5" t="s">
        <v>157</v>
      </c>
      <c r="B128" s="7" t="s">
        <v>636</v>
      </c>
      <c r="C128" s="4" t="s">
        <v>544</v>
      </c>
      <c r="D128" t="s">
        <v>545</v>
      </c>
      <c r="E128" t="s">
        <v>934</v>
      </c>
      <c r="F128" t="str">
        <f t="shared" si="1"/>
        <v>Balai Kekarantinaan Kesehatan Kelas I Pekanbaru</v>
      </c>
      <c r="G128" t="s">
        <v>944</v>
      </c>
    </row>
    <row r="129" spans="1:7" x14ac:dyDescent="0.25">
      <c r="A129" s="5" t="s">
        <v>289</v>
      </c>
      <c r="B129" s="7" t="s">
        <v>724</v>
      </c>
      <c r="C129" s="4" t="s">
        <v>544</v>
      </c>
      <c r="D129" t="s">
        <v>545</v>
      </c>
      <c r="E129" t="s">
        <v>934</v>
      </c>
      <c r="F129" t="str">
        <f t="shared" si="1"/>
        <v>Politeknik Kesehatan Riau</v>
      </c>
      <c r="G129" t="s">
        <v>944</v>
      </c>
    </row>
    <row r="130" spans="1:7" x14ac:dyDescent="0.25">
      <c r="A130" s="5" t="s">
        <v>103</v>
      </c>
      <c r="B130" s="7" t="s">
        <v>616</v>
      </c>
      <c r="C130" s="4" t="s">
        <v>520</v>
      </c>
      <c r="D130" t="s">
        <v>521</v>
      </c>
      <c r="E130" t="s">
        <v>934</v>
      </c>
      <c r="F130" t="str">
        <f t="shared" ref="F130:F193" si="2">PROPER(B130)</f>
        <v>Madrasah Aliyah Negeri 4 Kampar</v>
      </c>
      <c r="G130" t="s">
        <v>945</v>
      </c>
    </row>
    <row r="131" spans="1:7" x14ac:dyDescent="0.25">
      <c r="A131" s="5" t="s">
        <v>104</v>
      </c>
      <c r="B131" s="7" t="s">
        <v>828</v>
      </c>
      <c r="C131" s="4" t="s">
        <v>520</v>
      </c>
      <c r="D131" t="s">
        <v>521</v>
      </c>
      <c r="E131" t="s">
        <v>935</v>
      </c>
      <c r="F131" t="str">
        <f t="shared" si="2"/>
        <v>Stain Bengkalis</v>
      </c>
      <c r="G131" t="s">
        <v>945</v>
      </c>
    </row>
    <row r="132" spans="1:7" x14ac:dyDescent="0.25">
      <c r="A132" s="5" t="s">
        <v>105</v>
      </c>
      <c r="B132" s="7" t="s">
        <v>617</v>
      </c>
      <c r="C132" s="4" t="s">
        <v>520</v>
      </c>
      <c r="D132" t="s">
        <v>521</v>
      </c>
      <c r="E132" t="s">
        <v>934</v>
      </c>
      <c r="F132" t="str">
        <f t="shared" si="2"/>
        <v>Madrasah Tsanawiyah Negeri 2 Pelalawan</v>
      </c>
      <c r="G132" t="s">
        <v>945</v>
      </c>
    </row>
    <row r="133" spans="1:7" x14ac:dyDescent="0.25">
      <c r="A133" s="5" t="s">
        <v>106</v>
      </c>
      <c r="B133" s="7" t="s">
        <v>829</v>
      </c>
      <c r="C133" s="4" t="s">
        <v>520</v>
      </c>
      <c r="D133" t="s">
        <v>521</v>
      </c>
      <c r="E133" t="s">
        <v>934</v>
      </c>
      <c r="F133" t="str">
        <f t="shared" si="2"/>
        <v>Man Ic Siak</v>
      </c>
      <c r="G133" t="s">
        <v>945</v>
      </c>
    </row>
    <row r="134" spans="1:7" x14ac:dyDescent="0.25">
      <c r="A134" s="5" t="s">
        <v>108</v>
      </c>
      <c r="B134" s="7" t="s">
        <v>619</v>
      </c>
      <c r="C134" s="4" t="s">
        <v>520</v>
      </c>
      <c r="D134" t="s">
        <v>521</v>
      </c>
      <c r="E134" t="s">
        <v>935</v>
      </c>
      <c r="F134" t="str">
        <f t="shared" si="2"/>
        <v>Kantor Kementerian Agama Kabupaten Kepulauan Meranti</v>
      </c>
      <c r="G134" t="s">
        <v>945</v>
      </c>
    </row>
    <row r="135" spans="1:7" x14ac:dyDescent="0.25">
      <c r="A135" s="5" t="s">
        <v>109</v>
      </c>
      <c r="B135" s="7" t="s">
        <v>619</v>
      </c>
      <c r="C135" s="4" t="s">
        <v>520</v>
      </c>
      <c r="D135" t="s">
        <v>521</v>
      </c>
      <c r="E135" t="s">
        <v>935</v>
      </c>
      <c r="F135" t="str">
        <f t="shared" si="2"/>
        <v>Kantor Kementerian Agama Kabupaten Kepulauan Meranti</v>
      </c>
      <c r="G135" t="s">
        <v>945</v>
      </c>
    </row>
    <row r="136" spans="1:7" x14ac:dyDescent="0.25">
      <c r="A136" s="5" t="s">
        <v>110</v>
      </c>
      <c r="B136" s="7" t="s">
        <v>619</v>
      </c>
      <c r="C136" s="4" t="s">
        <v>520</v>
      </c>
      <c r="D136" t="s">
        <v>521</v>
      </c>
      <c r="E136" t="s">
        <v>935</v>
      </c>
      <c r="F136" t="str">
        <f t="shared" si="2"/>
        <v>Kantor Kementerian Agama Kabupaten Kepulauan Meranti</v>
      </c>
      <c r="G136" t="s">
        <v>945</v>
      </c>
    </row>
    <row r="137" spans="1:7" x14ac:dyDescent="0.25">
      <c r="A137" s="5" t="s">
        <v>111</v>
      </c>
      <c r="B137" s="7" t="s">
        <v>619</v>
      </c>
      <c r="C137" s="4" t="s">
        <v>520</v>
      </c>
      <c r="D137" t="s">
        <v>521</v>
      </c>
      <c r="E137" t="s">
        <v>935</v>
      </c>
      <c r="F137" t="str">
        <f t="shared" si="2"/>
        <v>Kantor Kementerian Agama Kabupaten Kepulauan Meranti</v>
      </c>
      <c r="G137" t="s">
        <v>945</v>
      </c>
    </row>
    <row r="138" spans="1:7" x14ac:dyDescent="0.25">
      <c r="A138" s="5" t="s">
        <v>112</v>
      </c>
      <c r="B138" s="7" t="s">
        <v>619</v>
      </c>
      <c r="C138" s="4" t="s">
        <v>520</v>
      </c>
      <c r="D138" t="s">
        <v>521</v>
      </c>
      <c r="E138" t="s">
        <v>935</v>
      </c>
      <c r="F138" t="str">
        <f t="shared" si="2"/>
        <v>Kantor Kementerian Agama Kabupaten Kepulauan Meranti</v>
      </c>
      <c r="G138" t="s">
        <v>945</v>
      </c>
    </row>
    <row r="139" spans="1:7" x14ac:dyDescent="0.25">
      <c r="A139" s="5" t="s">
        <v>128</v>
      </c>
      <c r="B139" s="7" t="s">
        <v>625</v>
      </c>
      <c r="C139" s="4" t="s">
        <v>520</v>
      </c>
      <c r="D139" t="s">
        <v>521</v>
      </c>
      <c r="E139" t="s">
        <v>934</v>
      </c>
      <c r="F139" t="str">
        <f t="shared" si="2"/>
        <v>Madrasah Tsanawiyah Negeri 1 Kota Pekanbaru</v>
      </c>
      <c r="G139" t="s">
        <v>945</v>
      </c>
    </row>
    <row r="140" spans="1:7" x14ac:dyDescent="0.25">
      <c r="A140" s="5" t="s">
        <v>160</v>
      </c>
      <c r="B140" s="7" t="s">
        <v>638</v>
      </c>
      <c r="C140" s="4" t="s">
        <v>520</v>
      </c>
      <c r="D140" t="s">
        <v>521</v>
      </c>
      <c r="E140" t="s">
        <v>934</v>
      </c>
      <c r="F140" t="str">
        <f t="shared" si="2"/>
        <v>Kanwil Kementerian Agama Prop. Riau</v>
      </c>
      <c r="G140" t="s">
        <v>945</v>
      </c>
    </row>
    <row r="141" spans="1:7" x14ac:dyDescent="0.25">
      <c r="A141" s="5" t="s">
        <v>161</v>
      </c>
      <c r="B141" s="7" t="s">
        <v>638</v>
      </c>
      <c r="C141" s="4" t="s">
        <v>520</v>
      </c>
      <c r="D141" t="s">
        <v>521</v>
      </c>
      <c r="E141" t="s">
        <v>934</v>
      </c>
      <c r="F141" t="str">
        <f t="shared" si="2"/>
        <v>Kanwil Kementerian Agama Prop. Riau</v>
      </c>
      <c r="G141" t="s">
        <v>945</v>
      </c>
    </row>
    <row r="142" spans="1:7" x14ac:dyDescent="0.25">
      <c r="A142" s="5" t="s">
        <v>162</v>
      </c>
      <c r="B142" s="7" t="s">
        <v>638</v>
      </c>
      <c r="C142" s="4" t="s">
        <v>520</v>
      </c>
      <c r="D142" t="s">
        <v>521</v>
      </c>
      <c r="E142" t="s">
        <v>934</v>
      </c>
      <c r="F142" t="str">
        <f t="shared" si="2"/>
        <v>Kanwil Kementerian Agama Prop. Riau</v>
      </c>
      <c r="G142" t="s">
        <v>945</v>
      </c>
    </row>
    <row r="143" spans="1:7" x14ac:dyDescent="0.25">
      <c r="A143" s="5" t="s">
        <v>163</v>
      </c>
      <c r="B143" s="7" t="s">
        <v>638</v>
      </c>
      <c r="C143" s="4" t="s">
        <v>520</v>
      </c>
      <c r="D143" t="s">
        <v>521</v>
      </c>
      <c r="E143" t="s">
        <v>934</v>
      </c>
      <c r="F143" t="str">
        <f t="shared" si="2"/>
        <v>Kanwil Kementerian Agama Prop. Riau</v>
      </c>
      <c r="G143" t="s">
        <v>945</v>
      </c>
    </row>
    <row r="144" spans="1:7" x14ac:dyDescent="0.25">
      <c r="A144" s="5" t="s">
        <v>164</v>
      </c>
      <c r="B144" s="7" t="s">
        <v>638</v>
      </c>
      <c r="C144" s="4" t="s">
        <v>520</v>
      </c>
      <c r="D144" t="s">
        <v>521</v>
      </c>
      <c r="E144" t="s">
        <v>934</v>
      </c>
      <c r="F144" t="str">
        <f t="shared" si="2"/>
        <v>Kanwil Kementerian Agama Prop. Riau</v>
      </c>
      <c r="G144" t="s">
        <v>945</v>
      </c>
    </row>
    <row r="145" spans="1:7" x14ac:dyDescent="0.25">
      <c r="A145" s="5" t="s">
        <v>165</v>
      </c>
      <c r="B145" s="7" t="s">
        <v>638</v>
      </c>
      <c r="C145" s="4" t="s">
        <v>520</v>
      </c>
      <c r="D145" t="s">
        <v>521</v>
      </c>
      <c r="E145" t="s">
        <v>934</v>
      </c>
      <c r="F145" t="str">
        <f t="shared" si="2"/>
        <v>Kanwil Kementerian Agama Prop. Riau</v>
      </c>
      <c r="G145" t="s">
        <v>945</v>
      </c>
    </row>
    <row r="146" spans="1:7" x14ac:dyDescent="0.25">
      <c r="A146" s="5" t="s">
        <v>166</v>
      </c>
      <c r="B146" s="7" t="s">
        <v>638</v>
      </c>
      <c r="C146" s="4" t="s">
        <v>520</v>
      </c>
      <c r="D146" t="s">
        <v>521</v>
      </c>
      <c r="E146" t="s">
        <v>934</v>
      </c>
      <c r="F146" t="str">
        <f t="shared" si="2"/>
        <v>Kanwil Kementerian Agama Prop. Riau</v>
      </c>
      <c r="G146" t="s">
        <v>945</v>
      </c>
    </row>
    <row r="147" spans="1:7" x14ac:dyDescent="0.25">
      <c r="A147" s="5" t="s">
        <v>167</v>
      </c>
      <c r="B147" s="7" t="s">
        <v>638</v>
      </c>
      <c r="C147" s="4" t="s">
        <v>520</v>
      </c>
      <c r="D147" t="s">
        <v>521</v>
      </c>
      <c r="E147" t="s">
        <v>934</v>
      </c>
      <c r="F147" t="str">
        <f t="shared" si="2"/>
        <v>Kanwil Kementerian Agama Prop. Riau</v>
      </c>
      <c r="G147" t="s">
        <v>945</v>
      </c>
    </row>
    <row r="148" spans="1:7" x14ac:dyDescent="0.25">
      <c r="A148" s="5" t="s">
        <v>168</v>
      </c>
      <c r="B148" s="7" t="s">
        <v>639</v>
      </c>
      <c r="C148" s="4" t="s">
        <v>520</v>
      </c>
      <c r="D148" t="s">
        <v>521</v>
      </c>
      <c r="E148" t="s">
        <v>934</v>
      </c>
      <c r="F148" t="str">
        <f t="shared" si="2"/>
        <v>Kantor Kementerian Agama Kota Pekanbaru</v>
      </c>
      <c r="G148" t="s">
        <v>945</v>
      </c>
    </row>
    <row r="149" spans="1:7" x14ac:dyDescent="0.25">
      <c r="A149" s="5" t="s">
        <v>169</v>
      </c>
      <c r="B149" s="7" t="s">
        <v>639</v>
      </c>
      <c r="C149" s="4" t="s">
        <v>520</v>
      </c>
      <c r="D149" t="s">
        <v>521</v>
      </c>
      <c r="E149" t="s">
        <v>934</v>
      </c>
      <c r="F149" t="str">
        <f t="shared" si="2"/>
        <v>Kantor Kementerian Agama Kota Pekanbaru</v>
      </c>
      <c r="G149" t="s">
        <v>945</v>
      </c>
    </row>
    <row r="150" spans="1:7" x14ac:dyDescent="0.25">
      <c r="A150" s="5" t="s">
        <v>170</v>
      </c>
      <c r="B150" s="7" t="s">
        <v>639</v>
      </c>
      <c r="C150" s="4" t="s">
        <v>520</v>
      </c>
      <c r="D150" t="s">
        <v>521</v>
      </c>
      <c r="E150" t="s">
        <v>934</v>
      </c>
      <c r="F150" t="str">
        <f t="shared" si="2"/>
        <v>Kantor Kementerian Agama Kota Pekanbaru</v>
      </c>
      <c r="G150" t="s">
        <v>945</v>
      </c>
    </row>
    <row r="151" spans="1:7" x14ac:dyDescent="0.25">
      <c r="A151" s="5" t="s">
        <v>171</v>
      </c>
      <c r="B151" s="7" t="s">
        <v>639</v>
      </c>
      <c r="C151" s="4" t="s">
        <v>520</v>
      </c>
      <c r="D151" t="s">
        <v>521</v>
      </c>
      <c r="E151" t="s">
        <v>934</v>
      </c>
      <c r="F151" t="str">
        <f t="shared" si="2"/>
        <v>Kantor Kementerian Agama Kota Pekanbaru</v>
      </c>
      <c r="G151" t="s">
        <v>945</v>
      </c>
    </row>
    <row r="152" spans="1:7" x14ac:dyDescent="0.25">
      <c r="A152" s="5" t="s">
        <v>172</v>
      </c>
      <c r="B152" s="7" t="s">
        <v>639</v>
      </c>
      <c r="C152" s="4" t="s">
        <v>520</v>
      </c>
      <c r="D152" t="s">
        <v>521</v>
      </c>
      <c r="E152" t="s">
        <v>934</v>
      </c>
      <c r="F152" t="str">
        <f t="shared" si="2"/>
        <v>Kantor Kementerian Agama Kota Pekanbaru</v>
      </c>
      <c r="G152" t="s">
        <v>945</v>
      </c>
    </row>
    <row r="153" spans="1:7" x14ac:dyDescent="0.25">
      <c r="A153" s="5" t="s">
        <v>173</v>
      </c>
      <c r="B153" s="7" t="s">
        <v>639</v>
      </c>
      <c r="C153" s="4" t="s">
        <v>520</v>
      </c>
      <c r="D153" t="s">
        <v>521</v>
      </c>
      <c r="E153" t="s">
        <v>934</v>
      </c>
      <c r="F153" t="str">
        <f t="shared" si="2"/>
        <v>Kantor Kementerian Agama Kota Pekanbaru</v>
      </c>
      <c r="G153" t="s">
        <v>945</v>
      </c>
    </row>
    <row r="154" spans="1:7" x14ac:dyDescent="0.25">
      <c r="A154" s="5" t="s">
        <v>174</v>
      </c>
      <c r="B154" s="7" t="s">
        <v>640</v>
      </c>
      <c r="C154" s="4" t="s">
        <v>520</v>
      </c>
      <c r="D154" t="s">
        <v>521</v>
      </c>
      <c r="E154" t="s">
        <v>934</v>
      </c>
      <c r="F154" t="str">
        <f t="shared" si="2"/>
        <v>Madrasah Aliyah Negeri 2 Pekanbaru Kota Pekanbaru</v>
      </c>
      <c r="G154" t="s">
        <v>945</v>
      </c>
    </row>
    <row r="155" spans="1:7" x14ac:dyDescent="0.25">
      <c r="A155" s="5" t="s">
        <v>175</v>
      </c>
      <c r="B155" s="7" t="s">
        <v>641</v>
      </c>
      <c r="C155" s="4" t="s">
        <v>520</v>
      </c>
      <c r="D155" t="s">
        <v>521</v>
      </c>
      <c r="E155" t="s">
        <v>935</v>
      </c>
      <c r="F155" t="str">
        <f t="shared" si="2"/>
        <v>Kantor Kementerian Agama Kab. Bengkalis</v>
      </c>
      <c r="G155" t="s">
        <v>945</v>
      </c>
    </row>
    <row r="156" spans="1:7" x14ac:dyDescent="0.25">
      <c r="A156" s="5" t="s">
        <v>176</v>
      </c>
      <c r="B156" s="7" t="s">
        <v>641</v>
      </c>
      <c r="C156" s="4" t="s">
        <v>520</v>
      </c>
      <c r="D156" t="s">
        <v>521</v>
      </c>
      <c r="E156" t="s">
        <v>935</v>
      </c>
      <c r="F156" t="str">
        <f t="shared" si="2"/>
        <v>Kantor Kementerian Agama Kab. Bengkalis</v>
      </c>
      <c r="G156" t="s">
        <v>945</v>
      </c>
    </row>
    <row r="157" spans="1:7" x14ac:dyDescent="0.25">
      <c r="A157" s="5" t="s">
        <v>177</v>
      </c>
      <c r="B157" s="7" t="s">
        <v>641</v>
      </c>
      <c r="C157" s="4" t="s">
        <v>520</v>
      </c>
      <c r="D157" t="s">
        <v>521</v>
      </c>
      <c r="E157" t="s">
        <v>935</v>
      </c>
      <c r="F157" t="str">
        <f t="shared" si="2"/>
        <v>Kantor Kementerian Agama Kab. Bengkalis</v>
      </c>
      <c r="G157" t="s">
        <v>945</v>
      </c>
    </row>
    <row r="158" spans="1:7" x14ac:dyDescent="0.25">
      <c r="A158" s="5" t="s">
        <v>178</v>
      </c>
      <c r="B158" s="7" t="s">
        <v>641</v>
      </c>
      <c r="C158" s="4" t="s">
        <v>520</v>
      </c>
      <c r="D158" t="s">
        <v>521</v>
      </c>
      <c r="E158" t="s">
        <v>935</v>
      </c>
      <c r="F158" t="str">
        <f t="shared" si="2"/>
        <v>Kantor Kementerian Agama Kab. Bengkalis</v>
      </c>
      <c r="G158" t="s">
        <v>945</v>
      </c>
    </row>
    <row r="159" spans="1:7" x14ac:dyDescent="0.25">
      <c r="A159" s="5" t="s">
        <v>179</v>
      </c>
      <c r="B159" s="7" t="s">
        <v>641</v>
      </c>
      <c r="C159" s="4" t="s">
        <v>520</v>
      </c>
      <c r="D159" t="s">
        <v>521</v>
      </c>
      <c r="E159" t="s">
        <v>935</v>
      </c>
      <c r="F159" t="str">
        <f t="shared" si="2"/>
        <v>Kantor Kementerian Agama Kab. Bengkalis</v>
      </c>
      <c r="G159" t="s">
        <v>945</v>
      </c>
    </row>
    <row r="160" spans="1:7" x14ac:dyDescent="0.25">
      <c r="A160" s="5" t="s">
        <v>180</v>
      </c>
      <c r="B160" s="7" t="s">
        <v>641</v>
      </c>
      <c r="C160" s="4" t="s">
        <v>520</v>
      </c>
      <c r="D160" t="s">
        <v>521</v>
      </c>
      <c r="E160" t="s">
        <v>935</v>
      </c>
      <c r="F160" t="str">
        <f t="shared" si="2"/>
        <v>Kantor Kementerian Agama Kab. Bengkalis</v>
      </c>
      <c r="G160" t="s">
        <v>945</v>
      </c>
    </row>
    <row r="161" spans="1:7" x14ac:dyDescent="0.25">
      <c r="A161" s="5" t="s">
        <v>182</v>
      </c>
      <c r="B161" s="7" t="s">
        <v>643</v>
      </c>
      <c r="C161" s="4" t="s">
        <v>520</v>
      </c>
      <c r="D161" t="s">
        <v>521</v>
      </c>
      <c r="E161" t="s">
        <v>934</v>
      </c>
      <c r="F161" t="str">
        <f t="shared" si="2"/>
        <v>Kantor Kementerian Agama Kab. Kampar</v>
      </c>
      <c r="G161" t="s">
        <v>945</v>
      </c>
    </row>
    <row r="162" spans="1:7" x14ac:dyDescent="0.25">
      <c r="A162" s="5" t="s">
        <v>183</v>
      </c>
      <c r="B162" s="7" t="s">
        <v>643</v>
      </c>
      <c r="C162" s="4" t="s">
        <v>520</v>
      </c>
      <c r="D162" t="s">
        <v>521</v>
      </c>
      <c r="E162" t="s">
        <v>934</v>
      </c>
      <c r="F162" t="str">
        <f t="shared" si="2"/>
        <v>Kantor Kementerian Agama Kab. Kampar</v>
      </c>
      <c r="G162" t="s">
        <v>945</v>
      </c>
    </row>
    <row r="163" spans="1:7" x14ac:dyDescent="0.25">
      <c r="A163" s="5" t="s">
        <v>184</v>
      </c>
      <c r="B163" s="7" t="s">
        <v>643</v>
      </c>
      <c r="C163" s="4" t="s">
        <v>520</v>
      </c>
      <c r="D163" t="s">
        <v>521</v>
      </c>
      <c r="E163" t="s">
        <v>934</v>
      </c>
      <c r="F163" t="str">
        <f t="shared" si="2"/>
        <v>Kantor Kementerian Agama Kab. Kampar</v>
      </c>
      <c r="G163" t="s">
        <v>945</v>
      </c>
    </row>
    <row r="164" spans="1:7" x14ac:dyDescent="0.25">
      <c r="A164" s="5" t="s">
        <v>185</v>
      </c>
      <c r="B164" s="7" t="s">
        <v>643</v>
      </c>
      <c r="C164" s="4" t="s">
        <v>520</v>
      </c>
      <c r="D164" t="s">
        <v>521</v>
      </c>
      <c r="E164" t="s">
        <v>934</v>
      </c>
      <c r="F164" t="str">
        <f t="shared" si="2"/>
        <v>Kantor Kementerian Agama Kab. Kampar</v>
      </c>
      <c r="G164" t="s">
        <v>945</v>
      </c>
    </row>
    <row r="165" spans="1:7" x14ac:dyDescent="0.25">
      <c r="A165" s="5" t="s">
        <v>186</v>
      </c>
      <c r="B165" s="7" t="s">
        <v>643</v>
      </c>
      <c r="C165" s="4" t="s">
        <v>520</v>
      </c>
      <c r="D165" t="s">
        <v>521</v>
      </c>
      <c r="E165" t="s">
        <v>934</v>
      </c>
      <c r="F165" t="str">
        <f t="shared" si="2"/>
        <v>Kantor Kementerian Agama Kab. Kampar</v>
      </c>
      <c r="G165" t="s">
        <v>945</v>
      </c>
    </row>
    <row r="166" spans="1:7" x14ac:dyDescent="0.25">
      <c r="A166" s="5" t="s">
        <v>187</v>
      </c>
      <c r="B166" s="7" t="s">
        <v>644</v>
      </c>
      <c r="C166" s="4" t="s">
        <v>520</v>
      </c>
      <c r="D166" t="s">
        <v>521</v>
      </c>
      <c r="E166" t="s">
        <v>936</v>
      </c>
      <c r="F166" t="str">
        <f t="shared" si="2"/>
        <v>Kantor Kementerian Agama Kab. Indragiri Hulu</v>
      </c>
      <c r="G166" t="s">
        <v>945</v>
      </c>
    </row>
    <row r="167" spans="1:7" x14ac:dyDescent="0.25">
      <c r="A167" s="5" t="s">
        <v>188</v>
      </c>
      <c r="B167" s="7" t="s">
        <v>644</v>
      </c>
      <c r="C167" s="4" t="s">
        <v>520</v>
      </c>
      <c r="D167" t="s">
        <v>521</v>
      </c>
      <c r="E167" t="s">
        <v>936</v>
      </c>
      <c r="F167" t="str">
        <f t="shared" si="2"/>
        <v>Kantor Kementerian Agama Kab. Indragiri Hulu</v>
      </c>
      <c r="G167" t="s">
        <v>945</v>
      </c>
    </row>
    <row r="168" spans="1:7" x14ac:dyDescent="0.25">
      <c r="A168" s="5" t="s">
        <v>189</v>
      </c>
      <c r="B168" s="7" t="s">
        <v>644</v>
      </c>
      <c r="C168" s="4" t="s">
        <v>520</v>
      </c>
      <c r="D168" t="s">
        <v>521</v>
      </c>
      <c r="E168" t="s">
        <v>936</v>
      </c>
      <c r="F168" t="str">
        <f t="shared" si="2"/>
        <v>Kantor Kementerian Agama Kab. Indragiri Hulu</v>
      </c>
      <c r="G168" t="s">
        <v>945</v>
      </c>
    </row>
    <row r="169" spans="1:7" x14ac:dyDescent="0.25">
      <c r="A169" s="5" t="s">
        <v>190</v>
      </c>
      <c r="B169" s="7" t="s">
        <v>644</v>
      </c>
      <c r="C169" s="4" t="s">
        <v>520</v>
      </c>
      <c r="D169" t="s">
        <v>521</v>
      </c>
      <c r="E169" t="s">
        <v>936</v>
      </c>
      <c r="F169" t="str">
        <f t="shared" si="2"/>
        <v>Kantor Kementerian Agama Kab. Indragiri Hulu</v>
      </c>
      <c r="G169" t="s">
        <v>945</v>
      </c>
    </row>
    <row r="170" spans="1:7" x14ac:dyDescent="0.25">
      <c r="A170" s="5" t="s">
        <v>191</v>
      </c>
      <c r="B170" s="7" t="s">
        <v>645</v>
      </c>
      <c r="C170" s="4" t="s">
        <v>520</v>
      </c>
      <c r="D170" t="s">
        <v>521</v>
      </c>
      <c r="E170" t="s">
        <v>936</v>
      </c>
      <c r="F170" t="str">
        <f t="shared" si="2"/>
        <v>Kantor Kementerian Agama Kab. Indragiri Hilir</v>
      </c>
      <c r="G170" t="s">
        <v>945</v>
      </c>
    </row>
    <row r="171" spans="1:7" x14ac:dyDescent="0.25">
      <c r="A171" s="5" t="s">
        <v>192</v>
      </c>
      <c r="B171" s="7" t="s">
        <v>644</v>
      </c>
      <c r="C171" s="4" t="s">
        <v>520</v>
      </c>
      <c r="D171" t="s">
        <v>521</v>
      </c>
      <c r="E171" t="s">
        <v>936</v>
      </c>
      <c r="F171" t="str">
        <f t="shared" si="2"/>
        <v>Kantor Kementerian Agama Kab. Indragiri Hulu</v>
      </c>
      <c r="G171" t="s">
        <v>945</v>
      </c>
    </row>
    <row r="172" spans="1:7" x14ac:dyDescent="0.25">
      <c r="A172" s="5" t="s">
        <v>193</v>
      </c>
      <c r="B172" s="7" t="s">
        <v>645</v>
      </c>
      <c r="C172" s="4" t="s">
        <v>520</v>
      </c>
      <c r="D172" t="s">
        <v>521</v>
      </c>
      <c r="E172" t="s">
        <v>936</v>
      </c>
      <c r="F172" t="str">
        <f t="shared" si="2"/>
        <v>Kantor Kementerian Agama Kab. Indragiri Hilir</v>
      </c>
      <c r="G172" t="s">
        <v>945</v>
      </c>
    </row>
    <row r="173" spans="1:7" x14ac:dyDescent="0.25">
      <c r="A173" s="5" t="s">
        <v>194</v>
      </c>
      <c r="B173" s="7" t="s">
        <v>645</v>
      </c>
      <c r="C173" s="4" t="s">
        <v>520</v>
      </c>
      <c r="D173" t="s">
        <v>521</v>
      </c>
      <c r="E173" t="s">
        <v>936</v>
      </c>
      <c r="F173" t="str">
        <f t="shared" si="2"/>
        <v>Kantor Kementerian Agama Kab. Indragiri Hilir</v>
      </c>
      <c r="G173" t="s">
        <v>945</v>
      </c>
    </row>
    <row r="174" spans="1:7" x14ac:dyDescent="0.25">
      <c r="A174" s="5" t="s">
        <v>195</v>
      </c>
      <c r="B174" s="7" t="s">
        <v>645</v>
      </c>
      <c r="C174" s="4" t="s">
        <v>520</v>
      </c>
      <c r="D174" t="s">
        <v>521</v>
      </c>
      <c r="E174" t="s">
        <v>936</v>
      </c>
      <c r="F174" t="str">
        <f t="shared" si="2"/>
        <v>Kantor Kementerian Agama Kab. Indragiri Hilir</v>
      </c>
      <c r="G174" t="s">
        <v>945</v>
      </c>
    </row>
    <row r="175" spans="1:7" x14ac:dyDescent="0.25">
      <c r="A175" s="5" t="s">
        <v>200</v>
      </c>
      <c r="B175" s="7" t="s">
        <v>650</v>
      </c>
      <c r="C175" s="4" t="s">
        <v>520</v>
      </c>
      <c r="D175" t="s">
        <v>521</v>
      </c>
      <c r="E175" t="s">
        <v>935</v>
      </c>
      <c r="F175" t="str">
        <f t="shared" si="2"/>
        <v>Madrasah Tsanawiyah Negeri 4 Bengkalis</v>
      </c>
      <c r="G175" t="s">
        <v>945</v>
      </c>
    </row>
    <row r="176" spans="1:7" x14ac:dyDescent="0.25">
      <c r="A176" s="5" t="s">
        <v>201</v>
      </c>
      <c r="B176" s="7" t="s">
        <v>651</v>
      </c>
      <c r="C176" s="4" t="s">
        <v>520</v>
      </c>
      <c r="D176" t="s">
        <v>521</v>
      </c>
      <c r="E176" t="s">
        <v>935</v>
      </c>
      <c r="F176" t="str">
        <f t="shared" si="2"/>
        <v>Madrasah Tsanawiyah Negeri 5 Bengkalis</v>
      </c>
      <c r="G176" t="s">
        <v>945</v>
      </c>
    </row>
    <row r="177" spans="1:7" x14ac:dyDescent="0.25">
      <c r="A177" s="5" t="s">
        <v>202</v>
      </c>
      <c r="B177" s="7" t="s">
        <v>652</v>
      </c>
      <c r="C177" s="4" t="s">
        <v>520</v>
      </c>
      <c r="D177" t="s">
        <v>521</v>
      </c>
      <c r="E177" t="s">
        <v>934</v>
      </c>
      <c r="F177" t="str">
        <f t="shared" si="2"/>
        <v>Madrasah Tsanawiyah Negeri 5 Rokan Hulu</v>
      </c>
      <c r="G177" t="s">
        <v>945</v>
      </c>
    </row>
    <row r="178" spans="1:7" x14ac:dyDescent="0.25">
      <c r="A178" s="5" t="s">
        <v>203</v>
      </c>
      <c r="B178" s="7" t="s">
        <v>653</v>
      </c>
      <c r="C178" s="4" t="s">
        <v>520</v>
      </c>
      <c r="D178" t="s">
        <v>521</v>
      </c>
      <c r="E178" t="s">
        <v>935</v>
      </c>
      <c r="F178" t="str">
        <f t="shared" si="2"/>
        <v>Madrasah Tsanawiyah Negeri 2 Rokan Hilir</v>
      </c>
      <c r="G178" t="s">
        <v>945</v>
      </c>
    </row>
    <row r="179" spans="1:7" x14ac:dyDescent="0.25">
      <c r="A179" s="5" t="s">
        <v>204</v>
      </c>
      <c r="B179" s="7" t="s">
        <v>654</v>
      </c>
      <c r="C179" s="4" t="s">
        <v>520</v>
      </c>
      <c r="D179" t="s">
        <v>521</v>
      </c>
      <c r="E179" t="s">
        <v>935</v>
      </c>
      <c r="F179" t="str">
        <f t="shared" si="2"/>
        <v>Madrasah Tsanawiyah Negeri 3 Rokan Hilir</v>
      </c>
      <c r="G179" t="s">
        <v>945</v>
      </c>
    </row>
    <row r="180" spans="1:7" x14ac:dyDescent="0.25">
      <c r="A180" s="5" t="s">
        <v>205</v>
      </c>
      <c r="B180" s="7" t="s">
        <v>655</v>
      </c>
      <c r="C180" s="4" t="s">
        <v>520</v>
      </c>
      <c r="D180" t="s">
        <v>521</v>
      </c>
      <c r="E180" t="s">
        <v>934</v>
      </c>
      <c r="F180" t="str">
        <f t="shared" si="2"/>
        <v>Madrasah Tsanawiyah Negeri 3 Siak</v>
      </c>
      <c r="G180" t="s">
        <v>945</v>
      </c>
    </row>
    <row r="181" spans="1:7" x14ac:dyDescent="0.25">
      <c r="A181" s="5" t="s">
        <v>206</v>
      </c>
      <c r="B181" s="7" t="s">
        <v>656</v>
      </c>
      <c r="C181" s="4" t="s">
        <v>520</v>
      </c>
      <c r="D181" t="s">
        <v>521</v>
      </c>
      <c r="E181" t="s">
        <v>936</v>
      </c>
      <c r="F181" t="str">
        <f t="shared" si="2"/>
        <v>Madrasah Tsanawiyah Negeri 3 Kuantan Singingi</v>
      </c>
      <c r="G181" t="s">
        <v>945</v>
      </c>
    </row>
    <row r="182" spans="1:7" x14ac:dyDescent="0.25">
      <c r="A182" s="5" t="s">
        <v>207</v>
      </c>
      <c r="B182" s="7" t="s">
        <v>657</v>
      </c>
      <c r="C182" s="4" t="s">
        <v>520</v>
      </c>
      <c r="D182" t="s">
        <v>521</v>
      </c>
      <c r="E182" t="s">
        <v>936</v>
      </c>
      <c r="F182" t="str">
        <f t="shared" si="2"/>
        <v>Madrasah Tsanawiyah Negeri 4 Kuantan Singingi</v>
      </c>
      <c r="G182" t="s">
        <v>945</v>
      </c>
    </row>
    <row r="183" spans="1:7" x14ac:dyDescent="0.25">
      <c r="A183" s="5" t="s">
        <v>208</v>
      </c>
      <c r="B183" s="7" t="s">
        <v>658</v>
      </c>
      <c r="C183" s="4" t="s">
        <v>520</v>
      </c>
      <c r="D183" t="s">
        <v>521</v>
      </c>
      <c r="E183" t="s">
        <v>935</v>
      </c>
      <c r="F183" t="str">
        <f t="shared" si="2"/>
        <v>Madrasah Aliyah Negeri 2 Kepulauan Meranti</v>
      </c>
      <c r="G183" t="s">
        <v>945</v>
      </c>
    </row>
    <row r="184" spans="1:7" x14ac:dyDescent="0.25">
      <c r="A184" s="5" t="s">
        <v>209</v>
      </c>
      <c r="B184" s="7" t="s">
        <v>659</v>
      </c>
      <c r="C184" s="4" t="s">
        <v>520</v>
      </c>
      <c r="D184" t="s">
        <v>521</v>
      </c>
      <c r="E184" t="s">
        <v>934</v>
      </c>
      <c r="F184" t="str">
        <f t="shared" si="2"/>
        <v>Madrasah Aliyah Negeri 3 Kota Pekanbaru</v>
      </c>
      <c r="G184" t="s">
        <v>945</v>
      </c>
    </row>
    <row r="185" spans="1:7" x14ac:dyDescent="0.25">
      <c r="A185" s="5" t="s">
        <v>210</v>
      </c>
      <c r="B185" s="7" t="s">
        <v>660</v>
      </c>
      <c r="C185" s="4" t="s">
        <v>520</v>
      </c>
      <c r="D185" t="s">
        <v>521</v>
      </c>
      <c r="E185" t="s">
        <v>934</v>
      </c>
      <c r="F185" t="str">
        <f t="shared" si="2"/>
        <v>Madrasah Aliyah Negeri 4 Kota Pekanbaru</v>
      </c>
      <c r="G185" t="s">
        <v>945</v>
      </c>
    </row>
    <row r="186" spans="1:7" x14ac:dyDescent="0.25">
      <c r="A186" s="5" t="s">
        <v>211</v>
      </c>
      <c r="B186" s="7" t="s">
        <v>661</v>
      </c>
      <c r="C186" s="4" t="s">
        <v>520</v>
      </c>
      <c r="D186" t="s">
        <v>521</v>
      </c>
      <c r="E186" t="s">
        <v>934</v>
      </c>
      <c r="F186" t="str">
        <f t="shared" si="2"/>
        <v>Uin Sulthan Syarif Kasim Riau</v>
      </c>
      <c r="G186" t="s">
        <v>945</v>
      </c>
    </row>
    <row r="187" spans="1:7" x14ac:dyDescent="0.25">
      <c r="A187" s="5" t="s">
        <v>212</v>
      </c>
      <c r="B187" s="7" t="s">
        <v>662</v>
      </c>
      <c r="C187" s="4" t="s">
        <v>520</v>
      </c>
      <c r="D187" t="s">
        <v>521</v>
      </c>
      <c r="E187" t="s">
        <v>934</v>
      </c>
      <c r="F187" t="str">
        <f t="shared" si="2"/>
        <v>Madrasah Aliyah Negeri 1 Pekanbaru Kota Pekanbaru</v>
      </c>
      <c r="G187" t="s">
        <v>945</v>
      </c>
    </row>
    <row r="188" spans="1:7" x14ac:dyDescent="0.25">
      <c r="A188" s="5" t="s">
        <v>213</v>
      </c>
      <c r="B188" s="7" t="s">
        <v>663</v>
      </c>
      <c r="C188" s="4" t="s">
        <v>520</v>
      </c>
      <c r="D188" t="s">
        <v>521</v>
      </c>
      <c r="E188" t="s">
        <v>936</v>
      </c>
      <c r="F188" t="str">
        <f t="shared" si="2"/>
        <v>Madrasah Aliyah Negeri 1 Indragiri Hilir Kab. Indragiri Hilir</v>
      </c>
      <c r="G188" t="s">
        <v>945</v>
      </c>
    </row>
    <row r="189" spans="1:7" x14ac:dyDescent="0.25">
      <c r="A189" s="5" t="s">
        <v>214</v>
      </c>
      <c r="B189" s="7" t="s">
        <v>664</v>
      </c>
      <c r="C189" s="4" t="s">
        <v>520</v>
      </c>
      <c r="D189" t="s">
        <v>521</v>
      </c>
      <c r="E189" t="s">
        <v>934</v>
      </c>
      <c r="F189" t="str">
        <f t="shared" si="2"/>
        <v>Madrasah Tsanawiyah Negeri 1 Kampar Kab. Kampar</v>
      </c>
      <c r="G189" t="s">
        <v>945</v>
      </c>
    </row>
    <row r="190" spans="1:7" x14ac:dyDescent="0.25">
      <c r="A190" s="5" t="s">
        <v>215</v>
      </c>
      <c r="B190" s="7" t="s">
        <v>665</v>
      </c>
      <c r="C190" s="4" t="s">
        <v>520</v>
      </c>
      <c r="D190" t="s">
        <v>521</v>
      </c>
      <c r="E190" t="s">
        <v>936</v>
      </c>
      <c r="F190" t="str">
        <f t="shared" si="2"/>
        <v>Madrasah Tsanawiyah Negeri 2 Indragiri Hilir Kab. Indragiri Hilir</v>
      </c>
      <c r="G190" t="s">
        <v>945</v>
      </c>
    </row>
    <row r="191" spans="1:7" x14ac:dyDescent="0.25">
      <c r="A191" s="5" t="s">
        <v>252</v>
      </c>
      <c r="B191" s="7" t="s">
        <v>692</v>
      </c>
      <c r="C191" s="4" t="s">
        <v>520</v>
      </c>
      <c r="D191" t="s">
        <v>521</v>
      </c>
      <c r="E191" t="s">
        <v>935</v>
      </c>
      <c r="F191" t="str">
        <f t="shared" si="2"/>
        <v>Madrasah Tsanawiyah Negeri 1 Bengkalis Kab. Bengkalis</v>
      </c>
      <c r="G191" t="s">
        <v>945</v>
      </c>
    </row>
    <row r="192" spans="1:7" x14ac:dyDescent="0.25">
      <c r="A192" s="5" t="s">
        <v>253</v>
      </c>
      <c r="B192" s="7" t="s">
        <v>693</v>
      </c>
      <c r="C192" s="4" t="s">
        <v>520</v>
      </c>
      <c r="D192" t="s">
        <v>521</v>
      </c>
      <c r="E192" t="s">
        <v>935</v>
      </c>
      <c r="F192" t="str">
        <f t="shared" si="2"/>
        <v>Madrasah Aliyah Negeri 1 Kepulauan Meranti Kab. Kepulauan Meranti</v>
      </c>
      <c r="G192" t="s">
        <v>945</v>
      </c>
    </row>
    <row r="193" spans="1:7" x14ac:dyDescent="0.25">
      <c r="A193" s="5" t="s">
        <v>254</v>
      </c>
      <c r="B193" s="7" t="s">
        <v>694</v>
      </c>
      <c r="C193" s="4" t="s">
        <v>520</v>
      </c>
      <c r="D193" t="s">
        <v>521</v>
      </c>
      <c r="E193" t="s">
        <v>934</v>
      </c>
      <c r="F193" t="str">
        <f t="shared" si="2"/>
        <v>Madrasah Aliyah Negeri 1 Kampar Kab. Kampar</v>
      </c>
      <c r="G193" t="s">
        <v>945</v>
      </c>
    </row>
    <row r="194" spans="1:7" x14ac:dyDescent="0.25">
      <c r="A194" s="5" t="s">
        <v>256</v>
      </c>
      <c r="B194" s="7" t="s">
        <v>695</v>
      </c>
      <c r="C194" s="4" t="s">
        <v>520</v>
      </c>
      <c r="D194" t="s">
        <v>521</v>
      </c>
      <c r="E194" t="s">
        <v>936</v>
      </c>
      <c r="F194" t="str">
        <f t="shared" ref="F194:F257" si="3">PROPER(B194)</f>
        <v>Madrasah Tsanawiyah Negeri 1 Indragiri Hulu Kab. Indragiri Hulu</v>
      </c>
      <c r="G194" t="s">
        <v>945</v>
      </c>
    </row>
    <row r="195" spans="1:7" x14ac:dyDescent="0.25">
      <c r="A195" s="5" t="s">
        <v>257</v>
      </c>
      <c r="B195" s="7" t="s">
        <v>696</v>
      </c>
      <c r="C195" s="4" t="s">
        <v>520</v>
      </c>
      <c r="D195" t="s">
        <v>521</v>
      </c>
      <c r="E195" t="s">
        <v>935</v>
      </c>
      <c r="F195" t="str">
        <f t="shared" si="3"/>
        <v>Madrasah Tsanawiyah Negeri 1 Kepulauan Meranti Kab. Kepulauan Meranti</v>
      </c>
      <c r="G195" t="s">
        <v>945</v>
      </c>
    </row>
    <row r="196" spans="1:7" x14ac:dyDescent="0.25">
      <c r="A196" s="5" t="s">
        <v>258</v>
      </c>
      <c r="B196" s="7" t="s">
        <v>697</v>
      </c>
      <c r="C196" s="4" t="s">
        <v>520</v>
      </c>
      <c r="D196" t="s">
        <v>521</v>
      </c>
      <c r="E196" t="s">
        <v>936</v>
      </c>
      <c r="F196" t="str">
        <f t="shared" si="3"/>
        <v>Madrasah Tsanawiyah Negeri 1 Indragiri Hilir Kab. Indragiri Hilir</v>
      </c>
      <c r="G196" t="s">
        <v>945</v>
      </c>
    </row>
    <row r="197" spans="1:7" x14ac:dyDescent="0.25">
      <c r="A197" s="5" t="s">
        <v>259</v>
      </c>
      <c r="B197" s="7" t="s">
        <v>698</v>
      </c>
      <c r="C197" s="4" t="s">
        <v>520</v>
      </c>
      <c r="D197" t="s">
        <v>521</v>
      </c>
      <c r="E197" t="s">
        <v>936</v>
      </c>
      <c r="F197" t="str">
        <f t="shared" si="3"/>
        <v>Madrasah Tsanawiyah Negeri 1  Kuantan Singingi Kab. Kuantan Singingi</v>
      </c>
      <c r="G197" t="s">
        <v>945</v>
      </c>
    </row>
    <row r="198" spans="1:7" x14ac:dyDescent="0.25">
      <c r="A198" s="5" t="s">
        <v>260</v>
      </c>
      <c r="B198" s="7" t="s">
        <v>699</v>
      </c>
      <c r="C198" s="4" t="s">
        <v>520</v>
      </c>
      <c r="D198" t="s">
        <v>521</v>
      </c>
      <c r="E198" t="s">
        <v>934</v>
      </c>
      <c r="F198" t="str">
        <f t="shared" si="3"/>
        <v>Madrasah Tsanawiyah Negeri 2 Kampar Kab. Kampar</v>
      </c>
      <c r="G198" t="s">
        <v>945</v>
      </c>
    </row>
    <row r="199" spans="1:7" x14ac:dyDescent="0.25">
      <c r="A199" s="5" t="s">
        <v>261</v>
      </c>
      <c r="B199" s="7" t="s">
        <v>700</v>
      </c>
      <c r="C199" s="4" t="s">
        <v>520</v>
      </c>
      <c r="D199" t="s">
        <v>521</v>
      </c>
      <c r="E199" t="s">
        <v>936</v>
      </c>
      <c r="F199" t="str">
        <f t="shared" si="3"/>
        <v>Madrasah Tsanawiyah Negeri 3 Indragiri Hilir Kab. Indragiri Hilir</v>
      </c>
      <c r="G199" t="s">
        <v>945</v>
      </c>
    </row>
    <row r="200" spans="1:7" x14ac:dyDescent="0.25">
      <c r="A200" s="5" t="s">
        <v>262</v>
      </c>
      <c r="B200" s="7" t="s">
        <v>701</v>
      </c>
      <c r="C200" s="4" t="s">
        <v>520</v>
      </c>
      <c r="D200" t="s">
        <v>521</v>
      </c>
      <c r="E200" t="s">
        <v>936</v>
      </c>
      <c r="F200" t="str">
        <f t="shared" si="3"/>
        <v>Madrasah Aliyah Negeri 2 Indragiri Hilir Kab. Indragiri Hilir</v>
      </c>
      <c r="G200" t="s">
        <v>945</v>
      </c>
    </row>
    <row r="201" spans="1:7" x14ac:dyDescent="0.25">
      <c r="A201" s="5" t="s">
        <v>263</v>
      </c>
      <c r="B201" s="7" t="s">
        <v>702</v>
      </c>
      <c r="C201" s="4" t="s">
        <v>520</v>
      </c>
      <c r="D201" t="s">
        <v>521</v>
      </c>
      <c r="E201" t="s">
        <v>935</v>
      </c>
      <c r="F201" t="str">
        <f t="shared" si="3"/>
        <v>Madrasah Aliyah Negeri 1 Dumai Kota Dumai</v>
      </c>
      <c r="G201" t="s">
        <v>945</v>
      </c>
    </row>
    <row r="202" spans="1:7" x14ac:dyDescent="0.25">
      <c r="A202" s="5" t="s">
        <v>267</v>
      </c>
      <c r="B202" s="7" t="s">
        <v>705</v>
      </c>
      <c r="C202" s="4" t="s">
        <v>520</v>
      </c>
      <c r="D202" t="s">
        <v>521</v>
      </c>
      <c r="E202" t="s">
        <v>934</v>
      </c>
      <c r="F202" t="str">
        <f t="shared" si="3"/>
        <v>Madrasah Tsanawiyah Negeri 3 Rokan Hulu Kab. Rokan Hulu</v>
      </c>
      <c r="G202" t="s">
        <v>945</v>
      </c>
    </row>
    <row r="203" spans="1:7" x14ac:dyDescent="0.25">
      <c r="A203" s="5" t="s">
        <v>268</v>
      </c>
      <c r="B203" s="7" t="s">
        <v>706</v>
      </c>
      <c r="C203" s="4" t="s">
        <v>520</v>
      </c>
      <c r="D203" t="s">
        <v>521</v>
      </c>
      <c r="E203" t="s">
        <v>934</v>
      </c>
      <c r="F203" t="str">
        <f t="shared" si="3"/>
        <v>Madrasah Tsanawiyah Negeri 3 Kampar Kab. Kampar</v>
      </c>
      <c r="G203" t="s">
        <v>945</v>
      </c>
    </row>
    <row r="204" spans="1:7" x14ac:dyDescent="0.25">
      <c r="A204" s="5" t="s">
        <v>269</v>
      </c>
      <c r="B204" s="7" t="s">
        <v>707</v>
      </c>
      <c r="C204" s="4" t="s">
        <v>520</v>
      </c>
      <c r="D204" t="s">
        <v>521</v>
      </c>
      <c r="E204" t="s">
        <v>934</v>
      </c>
      <c r="F204" t="str">
        <f t="shared" si="3"/>
        <v>Madrasah Tsanawiyah Negeri 2 Rokan Hulu Kab. Rokan Hulu</v>
      </c>
      <c r="G204" t="s">
        <v>945</v>
      </c>
    </row>
    <row r="205" spans="1:7" x14ac:dyDescent="0.25">
      <c r="A205" s="5" t="s">
        <v>270</v>
      </c>
      <c r="B205" s="7" t="s">
        <v>708</v>
      </c>
      <c r="C205" s="4" t="s">
        <v>520</v>
      </c>
      <c r="D205" t="s">
        <v>521</v>
      </c>
      <c r="E205" t="s">
        <v>934</v>
      </c>
      <c r="F205" t="str">
        <f t="shared" si="3"/>
        <v>Madrasah Tsanawiyah Negeri 4 Kampar Kab. Kampar</v>
      </c>
      <c r="G205" t="s">
        <v>945</v>
      </c>
    </row>
    <row r="206" spans="1:7" x14ac:dyDescent="0.25">
      <c r="A206" s="5" t="s">
        <v>271</v>
      </c>
      <c r="B206" s="7" t="s">
        <v>709</v>
      </c>
      <c r="C206" s="4" t="s">
        <v>520</v>
      </c>
      <c r="D206" t="s">
        <v>521</v>
      </c>
      <c r="E206" t="s">
        <v>935</v>
      </c>
      <c r="F206" t="str">
        <f t="shared" si="3"/>
        <v>Madrasah Tsanawiyah Negeri 2 Bengkalis Kab. Bengkalis</v>
      </c>
      <c r="G206" t="s">
        <v>945</v>
      </c>
    </row>
    <row r="207" spans="1:7" x14ac:dyDescent="0.25">
      <c r="A207" s="5" t="s">
        <v>272</v>
      </c>
      <c r="B207" s="7" t="s">
        <v>710</v>
      </c>
      <c r="C207" s="4" t="s">
        <v>520</v>
      </c>
      <c r="D207" t="s">
        <v>521</v>
      </c>
      <c r="E207" t="s">
        <v>935</v>
      </c>
      <c r="F207" t="str">
        <f t="shared" si="3"/>
        <v>Madrasah Tsanawiyah Negeri 3 Bengkalis</v>
      </c>
      <c r="G207" t="s">
        <v>945</v>
      </c>
    </row>
    <row r="208" spans="1:7" x14ac:dyDescent="0.25">
      <c r="A208" s="5" t="s">
        <v>273</v>
      </c>
      <c r="B208" s="7" t="s">
        <v>711</v>
      </c>
      <c r="C208" s="4" t="s">
        <v>520</v>
      </c>
      <c r="D208" t="s">
        <v>521</v>
      </c>
      <c r="E208" t="s">
        <v>934</v>
      </c>
      <c r="F208" t="str">
        <f t="shared" si="3"/>
        <v>Madrasah Tsanawiyah Negeri 2 Siak Kab. Siak</v>
      </c>
      <c r="G208" t="s">
        <v>945</v>
      </c>
    </row>
    <row r="209" spans="1:7" x14ac:dyDescent="0.25">
      <c r="A209" s="5" t="s">
        <v>274</v>
      </c>
      <c r="B209" s="7" t="s">
        <v>712</v>
      </c>
      <c r="C209" s="4" t="s">
        <v>520</v>
      </c>
      <c r="D209" t="s">
        <v>521</v>
      </c>
      <c r="E209" t="s">
        <v>934</v>
      </c>
      <c r="F209" t="str">
        <f t="shared" si="3"/>
        <v>Madrasah Tsanawiyah Negeri 1 Siak Kab. Siak</v>
      </c>
      <c r="G209" t="s">
        <v>945</v>
      </c>
    </row>
    <row r="210" spans="1:7" x14ac:dyDescent="0.25">
      <c r="A210" s="5" t="s">
        <v>275</v>
      </c>
      <c r="B210" s="7" t="s">
        <v>713</v>
      </c>
      <c r="C210" s="4" t="s">
        <v>520</v>
      </c>
      <c r="D210" t="s">
        <v>521</v>
      </c>
      <c r="E210" t="s">
        <v>935</v>
      </c>
      <c r="F210" t="str">
        <f t="shared" si="3"/>
        <v>Madrasah Aliyah Negeri 1 Bengkalis Kab. Bengkalis</v>
      </c>
      <c r="G210" t="s">
        <v>945</v>
      </c>
    </row>
    <row r="211" spans="1:7" x14ac:dyDescent="0.25">
      <c r="A211" s="5" t="s">
        <v>276</v>
      </c>
      <c r="B211" s="7" t="s">
        <v>714</v>
      </c>
      <c r="C211" s="4" t="s">
        <v>520</v>
      </c>
      <c r="D211" t="s">
        <v>521</v>
      </c>
      <c r="E211" t="s">
        <v>936</v>
      </c>
      <c r="F211" t="str">
        <f t="shared" si="3"/>
        <v>Madrasah Aliyah Negeri 1 Kuantan Singingi Kab. Kuantan Singingi</v>
      </c>
      <c r="G211" t="s">
        <v>945</v>
      </c>
    </row>
    <row r="212" spans="1:7" x14ac:dyDescent="0.25">
      <c r="A212" s="5" t="s">
        <v>277</v>
      </c>
      <c r="B212" s="7" t="s">
        <v>715</v>
      </c>
      <c r="C212" s="4" t="s">
        <v>520</v>
      </c>
      <c r="D212" t="s">
        <v>521</v>
      </c>
      <c r="E212" t="s">
        <v>936</v>
      </c>
      <c r="F212" t="str">
        <f t="shared" si="3"/>
        <v>Madrasah Aliyah Negeri 1 Indragiri Hulu Kab. Indragiri Hulu</v>
      </c>
      <c r="G212" t="s">
        <v>945</v>
      </c>
    </row>
    <row r="213" spans="1:7" x14ac:dyDescent="0.25">
      <c r="A213" s="5" t="s">
        <v>278</v>
      </c>
      <c r="B213" s="7" t="s">
        <v>716</v>
      </c>
      <c r="C213" s="4" t="s">
        <v>520</v>
      </c>
      <c r="D213" t="s">
        <v>521</v>
      </c>
      <c r="E213" t="s">
        <v>934</v>
      </c>
      <c r="F213" t="str">
        <f t="shared" si="3"/>
        <v>Madrasah Aliyah Negeri 2 Kampar Kab. Kampar</v>
      </c>
      <c r="G213" t="s">
        <v>945</v>
      </c>
    </row>
    <row r="214" spans="1:7" x14ac:dyDescent="0.25">
      <c r="A214" s="5" t="s">
        <v>279</v>
      </c>
      <c r="B214" s="7" t="s">
        <v>718</v>
      </c>
      <c r="C214" s="4" t="s">
        <v>520</v>
      </c>
      <c r="D214" t="s">
        <v>521</v>
      </c>
      <c r="E214" t="s">
        <v>935</v>
      </c>
      <c r="F214" t="str">
        <f t="shared" si="3"/>
        <v>Madrasah Tsanawiyah Negeri 2 Kepulauan Meranti Kab. Kepulauan Meranti</v>
      </c>
      <c r="G214" t="s">
        <v>945</v>
      </c>
    </row>
    <row r="215" spans="1:7" x14ac:dyDescent="0.25">
      <c r="A215" s="5" t="s">
        <v>280</v>
      </c>
      <c r="B215" s="7" t="s">
        <v>719</v>
      </c>
      <c r="C215" s="4" t="s">
        <v>520</v>
      </c>
      <c r="D215" t="s">
        <v>521</v>
      </c>
      <c r="E215" t="s">
        <v>935</v>
      </c>
      <c r="F215" t="str">
        <f t="shared" si="3"/>
        <v>Madrasah Tsanawiyah Negeri 1 Dumai Kota Dumai</v>
      </c>
      <c r="G215" t="s">
        <v>945</v>
      </c>
    </row>
    <row r="216" spans="1:7" x14ac:dyDescent="0.25">
      <c r="A216" s="5" t="s">
        <v>284</v>
      </c>
      <c r="B216" s="7" t="s">
        <v>723</v>
      </c>
      <c r="C216" s="4" t="s">
        <v>520</v>
      </c>
      <c r="D216" t="s">
        <v>521</v>
      </c>
      <c r="E216" t="s">
        <v>935</v>
      </c>
      <c r="F216" t="str">
        <f t="shared" si="3"/>
        <v>Kantor Kementerian Agama Kota Dumai</v>
      </c>
      <c r="G216" t="s">
        <v>945</v>
      </c>
    </row>
    <row r="217" spans="1:7" x14ac:dyDescent="0.25">
      <c r="A217" s="5" t="s">
        <v>285</v>
      </c>
      <c r="B217" s="7" t="s">
        <v>723</v>
      </c>
      <c r="C217" s="4" t="s">
        <v>520</v>
      </c>
      <c r="D217" t="s">
        <v>521</v>
      </c>
      <c r="E217" t="s">
        <v>935</v>
      </c>
      <c r="F217" t="str">
        <f t="shared" si="3"/>
        <v>Kantor Kementerian Agama Kota Dumai</v>
      </c>
      <c r="G217" t="s">
        <v>945</v>
      </c>
    </row>
    <row r="218" spans="1:7" x14ac:dyDescent="0.25">
      <c r="A218" s="5" t="s">
        <v>286</v>
      </c>
      <c r="B218" s="7" t="s">
        <v>723</v>
      </c>
      <c r="C218" s="4" t="s">
        <v>520</v>
      </c>
      <c r="D218" t="s">
        <v>521</v>
      </c>
      <c r="E218" t="s">
        <v>935</v>
      </c>
      <c r="F218" t="str">
        <f t="shared" si="3"/>
        <v>Kantor Kementerian Agama Kota Dumai</v>
      </c>
      <c r="G218" t="s">
        <v>945</v>
      </c>
    </row>
    <row r="219" spans="1:7" x14ac:dyDescent="0.25">
      <c r="A219" s="5" t="s">
        <v>287</v>
      </c>
      <c r="B219" s="7" t="s">
        <v>723</v>
      </c>
      <c r="C219" s="4" t="s">
        <v>520</v>
      </c>
      <c r="D219" t="s">
        <v>521</v>
      </c>
      <c r="E219" t="s">
        <v>935</v>
      </c>
      <c r="F219" t="str">
        <f t="shared" si="3"/>
        <v>Kantor Kementerian Agama Kota Dumai</v>
      </c>
      <c r="G219" t="s">
        <v>945</v>
      </c>
    </row>
    <row r="220" spans="1:7" x14ac:dyDescent="0.25">
      <c r="A220" s="5" t="s">
        <v>288</v>
      </c>
      <c r="B220" s="7" t="s">
        <v>723</v>
      </c>
      <c r="C220" s="4" t="s">
        <v>520</v>
      </c>
      <c r="D220" t="s">
        <v>521</v>
      </c>
      <c r="E220" t="s">
        <v>935</v>
      </c>
      <c r="F220" t="str">
        <f t="shared" si="3"/>
        <v>Kantor Kementerian Agama Kota Dumai</v>
      </c>
      <c r="G220" t="s">
        <v>945</v>
      </c>
    </row>
    <row r="221" spans="1:7" x14ac:dyDescent="0.25">
      <c r="A221" s="5" t="s">
        <v>292</v>
      </c>
      <c r="B221" s="7" t="s">
        <v>727</v>
      </c>
      <c r="C221" s="4" t="s">
        <v>520</v>
      </c>
      <c r="D221" t="s">
        <v>521</v>
      </c>
      <c r="E221" t="s">
        <v>934</v>
      </c>
      <c r="F221" t="str">
        <f t="shared" si="3"/>
        <v>Kantor Kementerian Agama Kabupaten Pelalawan</v>
      </c>
      <c r="G221" t="s">
        <v>945</v>
      </c>
    </row>
    <row r="222" spans="1:7" x14ac:dyDescent="0.25">
      <c r="A222" s="5" t="s">
        <v>293</v>
      </c>
      <c r="B222" s="7" t="s">
        <v>727</v>
      </c>
      <c r="C222" s="4" t="s">
        <v>520</v>
      </c>
      <c r="D222" t="s">
        <v>521</v>
      </c>
      <c r="E222" t="s">
        <v>934</v>
      </c>
      <c r="F222" t="str">
        <f t="shared" si="3"/>
        <v>Kantor Kementerian Agama Kabupaten Pelalawan</v>
      </c>
      <c r="G222" t="s">
        <v>945</v>
      </c>
    </row>
    <row r="223" spans="1:7" x14ac:dyDescent="0.25">
      <c r="A223" s="5" t="s">
        <v>294</v>
      </c>
      <c r="B223" s="7" t="s">
        <v>727</v>
      </c>
      <c r="C223" s="4" t="s">
        <v>520</v>
      </c>
      <c r="D223" t="s">
        <v>521</v>
      </c>
      <c r="E223" t="s">
        <v>934</v>
      </c>
      <c r="F223" t="str">
        <f t="shared" si="3"/>
        <v>Kantor Kementerian Agama Kabupaten Pelalawan</v>
      </c>
      <c r="G223" t="s">
        <v>945</v>
      </c>
    </row>
    <row r="224" spans="1:7" x14ac:dyDescent="0.25">
      <c r="A224" s="5" t="s">
        <v>295</v>
      </c>
      <c r="B224" s="7" t="s">
        <v>727</v>
      </c>
      <c r="C224" s="4" t="s">
        <v>520</v>
      </c>
      <c r="D224" t="s">
        <v>521</v>
      </c>
      <c r="E224" t="s">
        <v>934</v>
      </c>
      <c r="F224" t="str">
        <f t="shared" si="3"/>
        <v>Kantor Kementerian Agama Kabupaten Pelalawan</v>
      </c>
      <c r="G224" t="s">
        <v>945</v>
      </c>
    </row>
    <row r="225" spans="1:7" x14ac:dyDescent="0.25">
      <c r="A225" s="5" t="s">
        <v>296</v>
      </c>
      <c r="B225" s="7" t="s">
        <v>727</v>
      </c>
      <c r="C225" s="4" t="s">
        <v>520</v>
      </c>
      <c r="D225" t="s">
        <v>521</v>
      </c>
      <c r="E225" t="s">
        <v>934</v>
      </c>
      <c r="F225" t="str">
        <f t="shared" si="3"/>
        <v>Kantor Kementerian Agama Kabupaten Pelalawan</v>
      </c>
      <c r="G225" t="s">
        <v>945</v>
      </c>
    </row>
    <row r="226" spans="1:7" x14ac:dyDescent="0.25">
      <c r="A226" s="5" t="s">
        <v>297</v>
      </c>
      <c r="B226" s="7" t="s">
        <v>728</v>
      </c>
      <c r="C226" s="4" t="s">
        <v>520</v>
      </c>
      <c r="D226" t="s">
        <v>521</v>
      </c>
      <c r="E226" t="s">
        <v>935</v>
      </c>
      <c r="F226" t="str">
        <f t="shared" si="3"/>
        <v>Kantor Kementerian Agama Kabupaten Rokan Hilir</v>
      </c>
      <c r="G226" t="s">
        <v>945</v>
      </c>
    </row>
    <row r="227" spans="1:7" x14ac:dyDescent="0.25">
      <c r="A227" s="5" t="s">
        <v>298</v>
      </c>
      <c r="B227" s="7" t="s">
        <v>728</v>
      </c>
      <c r="C227" s="4" t="s">
        <v>520</v>
      </c>
      <c r="D227" t="s">
        <v>521</v>
      </c>
      <c r="E227" t="s">
        <v>935</v>
      </c>
      <c r="F227" t="str">
        <f t="shared" si="3"/>
        <v>Kantor Kementerian Agama Kabupaten Rokan Hilir</v>
      </c>
      <c r="G227" t="s">
        <v>945</v>
      </c>
    </row>
    <row r="228" spans="1:7" x14ac:dyDescent="0.25">
      <c r="A228" s="5" t="s">
        <v>299</v>
      </c>
      <c r="B228" s="7" t="s">
        <v>728</v>
      </c>
      <c r="C228" s="4" t="s">
        <v>520</v>
      </c>
      <c r="D228" t="s">
        <v>521</v>
      </c>
      <c r="E228" t="s">
        <v>935</v>
      </c>
      <c r="F228" t="str">
        <f t="shared" si="3"/>
        <v>Kantor Kementerian Agama Kabupaten Rokan Hilir</v>
      </c>
      <c r="G228" t="s">
        <v>945</v>
      </c>
    </row>
    <row r="229" spans="1:7" x14ac:dyDescent="0.25">
      <c r="A229" s="5" t="s">
        <v>300</v>
      </c>
      <c r="B229" s="7" t="s">
        <v>728</v>
      </c>
      <c r="C229" s="4" t="s">
        <v>520</v>
      </c>
      <c r="D229" t="s">
        <v>521</v>
      </c>
      <c r="E229" t="s">
        <v>935</v>
      </c>
      <c r="F229" t="str">
        <f t="shared" si="3"/>
        <v>Kantor Kementerian Agama Kabupaten Rokan Hilir</v>
      </c>
      <c r="G229" t="s">
        <v>945</v>
      </c>
    </row>
    <row r="230" spans="1:7" x14ac:dyDescent="0.25">
      <c r="A230" s="5" t="s">
        <v>301</v>
      </c>
      <c r="B230" s="7" t="s">
        <v>729</v>
      </c>
      <c r="C230" s="4" t="s">
        <v>520</v>
      </c>
      <c r="D230" t="s">
        <v>521</v>
      </c>
      <c r="E230" t="s">
        <v>934</v>
      </c>
      <c r="F230" t="str">
        <f t="shared" si="3"/>
        <v>Kantor Kementerian Agama Kabupaten Rokan Hulu</v>
      </c>
      <c r="G230" t="s">
        <v>945</v>
      </c>
    </row>
    <row r="231" spans="1:7" x14ac:dyDescent="0.25">
      <c r="A231" s="5" t="s">
        <v>302</v>
      </c>
      <c r="B231" s="7" t="s">
        <v>728</v>
      </c>
      <c r="C231" s="4" t="s">
        <v>520</v>
      </c>
      <c r="D231" t="s">
        <v>521</v>
      </c>
      <c r="E231" t="s">
        <v>935</v>
      </c>
      <c r="F231" t="str">
        <f t="shared" si="3"/>
        <v>Kantor Kementerian Agama Kabupaten Rokan Hilir</v>
      </c>
      <c r="G231" t="s">
        <v>945</v>
      </c>
    </row>
    <row r="232" spans="1:7" x14ac:dyDescent="0.25">
      <c r="A232" s="5" t="s">
        <v>303</v>
      </c>
      <c r="B232" s="7" t="s">
        <v>729</v>
      </c>
      <c r="C232" s="4" t="s">
        <v>520</v>
      </c>
      <c r="D232" t="s">
        <v>521</v>
      </c>
      <c r="E232" t="s">
        <v>934</v>
      </c>
      <c r="F232" t="str">
        <f t="shared" si="3"/>
        <v>Kantor Kementerian Agama Kabupaten Rokan Hulu</v>
      </c>
      <c r="G232" t="s">
        <v>945</v>
      </c>
    </row>
    <row r="233" spans="1:7" x14ac:dyDescent="0.25">
      <c r="A233" s="5" t="s">
        <v>304</v>
      </c>
      <c r="B233" s="7" t="s">
        <v>729</v>
      </c>
      <c r="C233" s="4" t="s">
        <v>520</v>
      </c>
      <c r="D233" t="s">
        <v>521</v>
      </c>
      <c r="E233" t="s">
        <v>934</v>
      </c>
      <c r="F233" t="str">
        <f t="shared" si="3"/>
        <v>Kantor Kementerian Agama Kabupaten Rokan Hulu</v>
      </c>
      <c r="G233" t="s">
        <v>945</v>
      </c>
    </row>
    <row r="234" spans="1:7" x14ac:dyDescent="0.25">
      <c r="A234" s="5" t="s">
        <v>305</v>
      </c>
      <c r="B234" s="7" t="s">
        <v>729</v>
      </c>
      <c r="C234" s="4" t="s">
        <v>520</v>
      </c>
      <c r="D234" t="s">
        <v>521</v>
      </c>
      <c r="E234" t="s">
        <v>934</v>
      </c>
      <c r="F234" t="str">
        <f t="shared" si="3"/>
        <v>Kantor Kementerian Agama Kabupaten Rokan Hulu</v>
      </c>
      <c r="G234" t="s">
        <v>945</v>
      </c>
    </row>
    <row r="235" spans="1:7" x14ac:dyDescent="0.25">
      <c r="A235" s="5" t="s">
        <v>306</v>
      </c>
      <c r="B235" s="7" t="s">
        <v>729</v>
      </c>
      <c r="C235" s="4" t="s">
        <v>520</v>
      </c>
      <c r="D235" t="s">
        <v>521</v>
      </c>
      <c r="E235" t="s">
        <v>934</v>
      </c>
      <c r="F235" t="str">
        <f t="shared" si="3"/>
        <v>Kantor Kementerian Agama Kabupaten Rokan Hulu</v>
      </c>
      <c r="G235" t="s">
        <v>945</v>
      </c>
    </row>
    <row r="236" spans="1:7" x14ac:dyDescent="0.25">
      <c r="A236" s="5" t="s">
        <v>307</v>
      </c>
      <c r="B236" s="7" t="s">
        <v>730</v>
      </c>
      <c r="C236" s="4" t="s">
        <v>520</v>
      </c>
      <c r="D236" t="s">
        <v>521</v>
      </c>
      <c r="E236" t="s">
        <v>934</v>
      </c>
      <c r="F236" t="str">
        <f t="shared" si="3"/>
        <v>Kantor Kementerian Agama Kabupaten Siak</v>
      </c>
      <c r="G236" t="s">
        <v>945</v>
      </c>
    </row>
    <row r="237" spans="1:7" x14ac:dyDescent="0.25">
      <c r="A237" s="5" t="s">
        <v>308</v>
      </c>
      <c r="B237" s="7" t="s">
        <v>730</v>
      </c>
      <c r="C237" s="4" t="s">
        <v>520</v>
      </c>
      <c r="D237" t="s">
        <v>521</v>
      </c>
      <c r="E237" t="s">
        <v>934</v>
      </c>
      <c r="F237" t="str">
        <f t="shared" si="3"/>
        <v>Kantor Kementerian Agama Kabupaten Siak</v>
      </c>
      <c r="G237" t="s">
        <v>945</v>
      </c>
    </row>
    <row r="238" spans="1:7" x14ac:dyDescent="0.25">
      <c r="A238" s="5" t="s">
        <v>309</v>
      </c>
      <c r="B238" s="7" t="s">
        <v>730</v>
      </c>
      <c r="C238" s="4" t="s">
        <v>520</v>
      </c>
      <c r="D238" t="s">
        <v>521</v>
      </c>
      <c r="E238" t="s">
        <v>934</v>
      </c>
      <c r="F238" t="str">
        <f t="shared" si="3"/>
        <v>Kantor Kementerian Agama Kabupaten Siak</v>
      </c>
      <c r="G238" t="s">
        <v>945</v>
      </c>
    </row>
    <row r="239" spans="1:7" x14ac:dyDescent="0.25">
      <c r="A239" s="5" t="s">
        <v>310</v>
      </c>
      <c r="B239" s="7" t="s">
        <v>730</v>
      </c>
      <c r="C239" s="4" t="s">
        <v>520</v>
      </c>
      <c r="D239" t="s">
        <v>521</v>
      </c>
      <c r="E239" t="s">
        <v>934</v>
      </c>
      <c r="F239" t="str">
        <f t="shared" si="3"/>
        <v>Kantor Kementerian Agama Kabupaten Siak</v>
      </c>
      <c r="G239" t="s">
        <v>945</v>
      </c>
    </row>
    <row r="240" spans="1:7" x14ac:dyDescent="0.25">
      <c r="A240" s="5" t="s">
        <v>311</v>
      </c>
      <c r="B240" s="7" t="s">
        <v>730</v>
      </c>
      <c r="C240" s="4" t="s">
        <v>520</v>
      </c>
      <c r="D240" t="s">
        <v>521</v>
      </c>
      <c r="E240" t="s">
        <v>934</v>
      </c>
      <c r="F240" t="str">
        <f t="shared" si="3"/>
        <v>Kantor Kementerian Agama Kabupaten Siak</v>
      </c>
      <c r="G240" t="s">
        <v>945</v>
      </c>
    </row>
    <row r="241" spans="1:7" x14ac:dyDescent="0.25">
      <c r="A241" s="5" t="s">
        <v>312</v>
      </c>
      <c r="B241" s="7" t="s">
        <v>731</v>
      </c>
      <c r="C241" s="4" t="s">
        <v>520</v>
      </c>
      <c r="D241" t="s">
        <v>521</v>
      </c>
      <c r="E241" t="s">
        <v>936</v>
      </c>
      <c r="F241" t="str">
        <f t="shared" si="3"/>
        <v>Kantor Kementerian Agama Kabupaten Kuantan Singingi</v>
      </c>
      <c r="G241" t="s">
        <v>945</v>
      </c>
    </row>
    <row r="242" spans="1:7" x14ac:dyDescent="0.25">
      <c r="A242" s="5" t="s">
        <v>313</v>
      </c>
      <c r="B242" s="7" t="s">
        <v>731</v>
      </c>
      <c r="C242" s="4" t="s">
        <v>520</v>
      </c>
      <c r="D242" t="s">
        <v>521</v>
      </c>
      <c r="E242" t="s">
        <v>936</v>
      </c>
      <c r="F242" t="str">
        <f t="shared" si="3"/>
        <v>Kantor Kementerian Agama Kabupaten Kuantan Singingi</v>
      </c>
      <c r="G242" t="s">
        <v>945</v>
      </c>
    </row>
    <row r="243" spans="1:7" x14ac:dyDescent="0.25">
      <c r="A243" s="5" t="s">
        <v>314</v>
      </c>
      <c r="B243" s="7" t="s">
        <v>731</v>
      </c>
      <c r="C243" s="4" t="s">
        <v>520</v>
      </c>
      <c r="D243" t="s">
        <v>521</v>
      </c>
      <c r="E243" t="s">
        <v>936</v>
      </c>
      <c r="F243" t="str">
        <f t="shared" si="3"/>
        <v>Kantor Kementerian Agama Kabupaten Kuantan Singingi</v>
      </c>
      <c r="G243" t="s">
        <v>945</v>
      </c>
    </row>
    <row r="244" spans="1:7" x14ac:dyDescent="0.25">
      <c r="A244" s="5" t="s">
        <v>315</v>
      </c>
      <c r="B244" s="7" t="s">
        <v>731</v>
      </c>
      <c r="C244" s="4" t="s">
        <v>520</v>
      </c>
      <c r="D244" t="s">
        <v>521</v>
      </c>
      <c r="E244" t="s">
        <v>936</v>
      </c>
      <c r="F244" t="str">
        <f t="shared" si="3"/>
        <v>Kantor Kementerian Agama Kabupaten Kuantan Singingi</v>
      </c>
      <c r="G244" t="s">
        <v>945</v>
      </c>
    </row>
    <row r="245" spans="1:7" x14ac:dyDescent="0.25">
      <c r="A245" s="5" t="s">
        <v>316</v>
      </c>
      <c r="B245" s="7" t="s">
        <v>731</v>
      </c>
      <c r="C245" s="4" t="s">
        <v>520</v>
      </c>
      <c r="D245" t="s">
        <v>521</v>
      </c>
      <c r="E245" t="s">
        <v>936</v>
      </c>
      <c r="F245" t="str">
        <f t="shared" si="3"/>
        <v>Kantor Kementerian Agama Kabupaten Kuantan Singingi</v>
      </c>
      <c r="G245" t="s">
        <v>945</v>
      </c>
    </row>
    <row r="246" spans="1:7" x14ac:dyDescent="0.25">
      <c r="A246" s="5" t="s">
        <v>371</v>
      </c>
      <c r="B246" s="7" t="s">
        <v>770</v>
      </c>
      <c r="C246" s="4" t="s">
        <v>520</v>
      </c>
      <c r="D246" t="s">
        <v>521</v>
      </c>
      <c r="E246" t="s">
        <v>934</v>
      </c>
      <c r="F246" t="str">
        <f t="shared" si="3"/>
        <v>Madrasah Tsanawiyah Negeri 5 Kampar Kab. Kampar</v>
      </c>
      <c r="G246" t="s">
        <v>945</v>
      </c>
    </row>
    <row r="247" spans="1:7" x14ac:dyDescent="0.25">
      <c r="A247" s="5" t="s">
        <v>372</v>
      </c>
      <c r="B247" s="7" t="s">
        <v>771</v>
      </c>
      <c r="C247" s="4" t="s">
        <v>520</v>
      </c>
      <c r="D247" t="s">
        <v>521</v>
      </c>
      <c r="E247" t="s">
        <v>935</v>
      </c>
      <c r="F247" t="str">
        <f t="shared" si="3"/>
        <v>Madrasah Tsanawiyah Negeri 1 Rokan Hilir Kab. Rokan Hilir</v>
      </c>
      <c r="G247" t="s">
        <v>945</v>
      </c>
    </row>
    <row r="248" spans="1:7" x14ac:dyDescent="0.25">
      <c r="A248" s="5" t="s">
        <v>373</v>
      </c>
      <c r="B248" s="7" t="s">
        <v>772</v>
      </c>
      <c r="C248" s="4" t="s">
        <v>520</v>
      </c>
      <c r="D248" t="s">
        <v>521</v>
      </c>
      <c r="E248" t="s">
        <v>936</v>
      </c>
      <c r="F248" t="str">
        <f t="shared" si="3"/>
        <v>Madrasah Tsanawiyah Negeri 2  Kuantan Singingi Kab. Kuantan Singingi</v>
      </c>
      <c r="G248" t="s">
        <v>945</v>
      </c>
    </row>
    <row r="249" spans="1:7" x14ac:dyDescent="0.25">
      <c r="A249" s="5" t="s">
        <v>374</v>
      </c>
      <c r="B249" s="7" t="s">
        <v>773</v>
      </c>
      <c r="C249" s="4" t="s">
        <v>520</v>
      </c>
      <c r="D249" t="s">
        <v>521</v>
      </c>
      <c r="E249" t="s">
        <v>935</v>
      </c>
      <c r="F249" t="str">
        <f t="shared" si="3"/>
        <v>Madrasah Aliyah Negeri 2 Bengkalis Kab. Bengkalis</v>
      </c>
      <c r="G249" t="s">
        <v>945</v>
      </c>
    </row>
    <row r="250" spans="1:7" x14ac:dyDescent="0.25">
      <c r="A250" s="5" t="s">
        <v>375</v>
      </c>
      <c r="B250" s="7" t="s">
        <v>774</v>
      </c>
      <c r="C250" s="4" t="s">
        <v>520</v>
      </c>
      <c r="D250" t="s">
        <v>521</v>
      </c>
      <c r="E250" t="s">
        <v>936</v>
      </c>
      <c r="F250" t="str">
        <f t="shared" si="3"/>
        <v>Madrasah Aliyah Negeri 3 Indragiri Hilir Kab. Indragiri Hilir</v>
      </c>
      <c r="G250" t="s">
        <v>945</v>
      </c>
    </row>
    <row r="251" spans="1:7" x14ac:dyDescent="0.25">
      <c r="A251" s="5" t="s">
        <v>376</v>
      </c>
      <c r="B251" s="7" t="s">
        <v>775</v>
      </c>
      <c r="C251" s="4" t="s">
        <v>520</v>
      </c>
      <c r="D251" t="s">
        <v>521</v>
      </c>
      <c r="E251" t="s">
        <v>934</v>
      </c>
      <c r="F251" t="str">
        <f t="shared" si="3"/>
        <v>Madrasah Aliyah Negeri 3 Kampar Kab. Kampar</v>
      </c>
      <c r="G251" t="s">
        <v>945</v>
      </c>
    </row>
    <row r="252" spans="1:7" x14ac:dyDescent="0.25">
      <c r="A252" s="5" t="s">
        <v>383</v>
      </c>
      <c r="B252" s="7" t="s">
        <v>777</v>
      </c>
      <c r="C252" s="4" t="s">
        <v>520</v>
      </c>
      <c r="D252" t="s">
        <v>521</v>
      </c>
      <c r="E252" t="s">
        <v>934</v>
      </c>
      <c r="F252" t="str">
        <f t="shared" si="3"/>
        <v>Madrasah Tsanawiyah Negeri 2 Pekanbaru Kota Pekanbaru</v>
      </c>
      <c r="G252" t="s">
        <v>945</v>
      </c>
    </row>
    <row r="253" spans="1:7" x14ac:dyDescent="0.25">
      <c r="A253" s="5" t="s">
        <v>384</v>
      </c>
      <c r="B253" s="7" t="s">
        <v>778</v>
      </c>
      <c r="C253" s="4" t="s">
        <v>520</v>
      </c>
      <c r="D253" t="s">
        <v>521</v>
      </c>
      <c r="E253" t="s">
        <v>934</v>
      </c>
      <c r="F253" t="str">
        <f t="shared" si="3"/>
        <v>Madrasah Tsanawiyah Negeri 6 Kampar Kab. Kampar</v>
      </c>
      <c r="G253" t="s">
        <v>945</v>
      </c>
    </row>
    <row r="254" spans="1:7" x14ac:dyDescent="0.25">
      <c r="A254" s="5" t="s">
        <v>385</v>
      </c>
      <c r="B254" s="7" t="s">
        <v>779</v>
      </c>
      <c r="C254" s="4" t="s">
        <v>520</v>
      </c>
      <c r="D254" t="s">
        <v>521</v>
      </c>
      <c r="E254" t="s">
        <v>934</v>
      </c>
      <c r="F254" t="str">
        <f t="shared" si="3"/>
        <v>Madrasah Tsanawiyah Negeri 3 Pekanbaru Kota Pekanbaru</v>
      </c>
      <c r="G254" t="s">
        <v>945</v>
      </c>
    </row>
    <row r="255" spans="1:7" x14ac:dyDescent="0.25">
      <c r="A255" s="5" t="s">
        <v>386</v>
      </c>
      <c r="B255" s="7" t="s">
        <v>780</v>
      </c>
      <c r="C255" s="4" t="s">
        <v>520</v>
      </c>
      <c r="D255" t="s">
        <v>521</v>
      </c>
      <c r="E255" t="s">
        <v>935</v>
      </c>
      <c r="F255" t="str">
        <f t="shared" si="3"/>
        <v>Madrasah Tsanawiyah Negeri 2 Dumai Kota Dumai</v>
      </c>
      <c r="G255" t="s">
        <v>945</v>
      </c>
    </row>
    <row r="256" spans="1:7" x14ac:dyDescent="0.25">
      <c r="A256" s="5" t="s">
        <v>387</v>
      </c>
      <c r="B256" s="7" t="s">
        <v>781</v>
      </c>
      <c r="C256" s="4" t="s">
        <v>520</v>
      </c>
      <c r="D256" t="s">
        <v>521</v>
      </c>
      <c r="E256" t="s">
        <v>934</v>
      </c>
      <c r="F256" t="str">
        <f t="shared" si="3"/>
        <v>Madrasah Aliyah Negeri 1 Rokan Hulu Kab. Rokan Hulu</v>
      </c>
      <c r="G256" t="s">
        <v>945</v>
      </c>
    </row>
    <row r="257" spans="1:7" x14ac:dyDescent="0.25">
      <c r="A257" s="5" t="s">
        <v>388</v>
      </c>
      <c r="B257" s="7" t="s">
        <v>782</v>
      </c>
      <c r="C257" s="4" t="s">
        <v>520</v>
      </c>
      <c r="D257" t="s">
        <v>521</v>
      </c>
      <c r="E257" t="s">
        <v>934</v>
      </c>
      <c r="F257" t="str">
        <f t="shared" si="3"/>
        <v>Madrasah Aliyah Negeri 1 Siak Kab. Siak</v>
      </c>
      <c r="G257" t="s">
        <v>945</v>
      </c>
    </row>
    <row r="258" spans="1:7" x14ac:dyDescent="0.25">
      <c r="A258" s="5" t="s">
        <v>389</v>
      </c>
      <c r="B258" s="7" t="s">
        <v>783</v>
      </c>
      <c r="C258" s="4" t="s">
        <v>520</v>
      </c>
      <c r="D258" t="s">
        <v>521</v>
      </c>
      <c r="E258" t="s">
        <v>936</v>
      </c>
      <c r="F258" t="str">
        <f t="shared" ref="F258:F321" si="4">PROPER(B258)</f>
        <v>Madrasah Aliyah Negeri 2 Kuantan Singingi Kab. Kuantan Singingi</v>
      </c>
      <c r="G258" t="s">
        <v>945</v>
      </c>
    </row>
    <row r="259" spans="1:7" x14ac:dyDescent="0.25">
      <c r="A259" s="5" t="s">
        <v>391</v>
      </c>
      <c r="B259" s="7" t="s">
        <v>785</v>
      </c>
      <c r="C259" s="4" t="s">
        <v>520</v>
      </c>
      <c r="D259" t="s">
        <v>521</v>
      </c>
      <c r="E259" t="s">
        <v>934</v>
      </c>
      <c r="F259" t="str">
        <f t="shared" si="4"/>
        <v>Madrasah Tsanawiyah Negeri 9 Kampar Kab. Kampar</v>
      </c>
      <c r="G259" t="s">
        <v>945</v>
      </c>
    </row>
    <row r="260" spans="1:7" x14ac:dyDescent="0.25">
      <c r="A260" s="5" t="s">
        <v>392</v>
      </c>
      <c r="B260" s="7" t="s">
        <v>786</v>
      </c>
      <c r="C260" s="4" t="s">
        <v>520</v>
      </c>
      <c r="D260" t="s">
        <v>521</v>
      </c>
      <c r="E260" t="s">
        <v>934</v>
      </c>
      <c r="F260" t="str">
        <f t="shared" si="4"/>
        <v>Madrasah Tsanawiyah Negeri 1 Rokan Hulu Kab. Rokan Hulu</v>
      </c>
      <c r="G260" t="s">
        <v>945</v>
      </c>
    </row>
    <row r="261" spans="1:7" x14ac:dyDescent="0.25">
      <c r="A261" s="5" t="s">
        <v>393</v>
      </c>
      <c r="B261" s="7" t="s">
        <v>787</v>
      </c>
      <c r="C261" s="4" t="s">
        <v>520</v>
      </c>
      <c r="D261" t="s">
        <v>521</v>
      </c>
      <c r="E261" t="s">
        <v>934</v>
      </c>
      <c r="F261" t="str">
        <f t="shared" si="4"/>
        <v>Madrasah Tsanawiyah Negeri 4 Rokan Hulu Kab. Rokan Hulu</v>
      </c>
      <c r="G261" t="s">
        <v>945</v>
      </c>
    </row>
    <row r="262" spans="1:7" x14ac:dyDescent="0.25">
      <c r="A262" s="5" t="s">
        <v>394</v>
      </c>
      <c r="B262" s="7" t="s">
        <v>788</v>
      </c>
      <c r="C262" s="4" t="s">
        <v>520</v>
      </c>
      <c r="D262" t="s">
        <v>521</v>
      </c>
      <c r="E262" t="s">
        <v>934</v>
      </c>
      <c r="F262" t="str">
        <f t="shared" si="4"/>
        <v>Madrasah Tsanawiyah Negeri 8 Kampar Kab. Kampar</v>
      </c>
      <c r="G262" t="s">
        <v>945</v>
      </c>
    </row>
    <row r="263" spans="1:7" x14ac:dyDescent="0.25">
      <c r="A263" s="5" t="s">
        <v>395</v>
      </c>
      <c r="B263" s="7" t="s">
        <v>789</v>
      </c>
      <c r="C263" s="4" t="s">
        <v>520</v>
      </c>
      <c r="D263" t="s">
        <v>521</v>
      </c>
      <c r="E263" t="s">
        <v>934</v>
      </c>
      <c r="F263" t="str">
        <f t="shared" si="4"/>
        <v>Madrasah Tsanawiyah Negeri 1 Pelalawan</v>
      </c>
      <c r="G263" t="s">
        <v>945</v>
      </c>
    </row>
    <row r="264" spans="1:7" x14ac:dyDescent="0.25">
      <c r="A264" s="5" t="s">
        <v>396</v>
      </c>
      <c r="B264" s="7" t="s">
        <v>790</v>
      </c>
      <c r="C264" s="4" t="s">
        <v>520</v>
      </c>
      <c r="D264" t="s">
        <v>521</v>
      </c>
      <c r="E264" t="s">
        <v>934</v>
      </c>
      <c r="F264" t="str">
        <f t="shared" si="4"/>
        <v>Madrasah Tsanawiyah Negeri 7 Kampar Kab. Kampar</v>
      </c>
      <c r="G264" t="s">
        <v>945</v>
      </c>
    </row>
    <row r="265" spans="1:7" x14ac:dyDescent="0.25">
      <c r="A265" s="5" t="s">
        <v>403</v>
      </c>
      <c r="B265" s="7" t="s">
        <v>797</v>
      </c>
      <c r="C265" s="4" t="s">
        <v>520</v>
      </c>
      <c r="D265" t="s">
        <v>521</v>
      </c>
      <c r="E265" t="s">
        <v>935</v>
      </c>
      <c r="F265" t="str">
        <f t="shared" si="4"/>
        <v>Madrasah Aliyah Negeri 1 Rokan Hilir Kab. Rokan Hilir</v>
      </c>
      <c r="G265" t="s">
        <v>945</v>
      </c>
    </row>
    <row r="266" spans="1:7" x14ac:dyDescent="0.25">
      <c r="A266" s="5" t="s">
        <v>411</v>
      </c>
      <c r="B266" s="7" t="s">
        <v>854</v>
      </c>
      <c r="C266" s="4" t="s">
        <v>520</v>
      </c>
      <c r="D266" t="s">
        <v>521</v>
      </c>
      <c r="E266" t="s">
        <v>934</v>
      </c>
      <c r="F266" t="str">
        <f t="shared" si="4"/>
        <v>Loka Pendidikan Dan Pelatihan Keagamaan Pekanbaru</v>
      </c>
      <c r="G266" t="s">
        <v>945</v>
      </c>
    </row>
    <row r="267" spans="1:7" x14ac:dyDescent="0.25">
      <c r="A267" s="5" t="s">
        <v>435</v>
      </c>
      <c r="B267" s="7" t="s">
        <v>857</v>
      </c>
      <c r="C267" s="4" t="s">
        <v>580</v>
      </c>
      <c r="D267" t="s">
        <v>581</v>
      </c>
      <c r="E267" t="s">
        <v>934</v>
      </c>
      <c r="F267" t="str">
        <f t="shared" si="4"/>
        <v>Dinas Tenaga Kerja Dan Transmigrasi Provinsi Riau</v>
      </c>
      <c r="G267" t="s">
        <v>946</v>
      </c>
    </row>
    <row r="268" spans="1:7" x14ac:dyDescent="0.25">
      <c r="A268" s="5" t="s">
        <v>412</v>
      </c>
      <c r="B268" s="7" t="s">
        <v>921</v>
      </c>
      <c r="C268" s="4" t="s">
        <v>572</v>
      </c>
      <c r="D268" t="s">
        <v>573</v>
      </c>
      <c r="E268" t="s">
        <v>934</v>
      </c>
      <c r="F268" t="str">
        <f t="shared" si="4"/>
        <v>Sentra "Abiseka" Di Pekanbaru</v>
      </c>
      <c r="G268" t="s">
        <v>947</v>
      </c>
    </row>
    <row r="269" spans="1:7" x14ac:dyDescent="0.25">
      <c r="A269" s="5" t="s">
        <v>122</v>
      </c>
      <c r="B269" s="7" t="s">
        <v>831</v>
      </c>
      <c r="C269" s="4" t="s">
        <v>534</v>
      </c>
      <c r="D269" t="s">
        <v>535</v>
      </c>
      <c r="E269" t="s">
        <v>934</v>
      </c>
      <c r="F269" t="str">
        <f t="shared" si="4"/>
        <v>Dinas Kelautan Dan Perikanan Provinsi Riau</v>
      </c>
      <c r="G269" t="s">
        <v>951</v>
      </c>
    </row>
    <row r="270" spans="1:7" x14ac:dyDescent="0.25">
      <c r="A270" s="5" t="s">
        <v>123</v>
      </c>
      <c r="B270" s="7" t="s">
        <v>831</v>
      </c>
      <c r="C270" s="4" t="s">
        <v>534</v>
      </c>
      <c r="D270" t="s">
        <v>535</v>
      </c>
      <c r="E270" t="s">
        <v>934</v>
      </c>
      <c r="F270" t="str">
        <f t="shared" si="4"/>
        <v>Dinas Kelautan Dan Perikanan Provinsi Riau</v>
      </c>
      <c r="G270" t="s">
        <v>951</v>
      </c>
    </row>
    <row r="271" spans="1:7" x14ac:dyDescent="0.25">
      <c r="A271" s="5" t="s">
        <v>138</v>
      </c>
      <c r="B271" s="7" t="s">
        <v>834</v>
      </c>
      <c r="C271" s="4" t="s">
        <v>534</v>
      </c>
      <c r="D271" t="s">
        <v>535</v>
      </c>
      <c r="E271" t="s">
        <v>935</v>
      </c>
      <c r="F271" t="str">
        <f t="shared" si="4"/>
        <v>Politeknik Kelautan Dan Perikanan Dumai (Poltek Kp Dumai)</v>
      </c>
      <c r="G271" t="s">
        <v>951</v>
      </c>
    </row>
    <row r="272" spans="1:7" x14ac:dyDescent="0.25">
      <c r="A272" s="5" t="s">
        <v>239</v>
      </c>
      <c r="B272" s="7" t="s">
        <v>683</v>
      </c>
      <c r="C272" s="4" t="s">
        <v>534</v>
      </c>
      <c r="D272" t="s">
        <v>535</v>
      </c>
      <c r="E272" t="s">
        <v>934</v>
      </c>
      <c r="F272" t="str">
        <f t="shared" si="4"/>
        <v>Loka Kawasan Konservasi Perairan Nasional Pekanbaru</v>
      </c>
      <c r="G272" t="s">
        <v>951</v>
      </c>
    </row>
    <row r="273" spans="1:7" x14ac:dyDescent="0.25">
      <c r="A273" s="5" t="s">
        <v>266</v>
      </c>
      <c r="B273" s="7" t="s">
        <v>853</v>
      </c>
      <c r="C273" s="4" t="s">
        <v>534</v>
      </c>
      <c r="D273" t="s">
        <v>535</v>
      </c>
      <c r="E273" t="s">
        <v>934</v>
      </c>
      <c r="F273" t="str">
        <f t="shared" si="4"/>
        <v>Stasiun Karantina Ikan, Pengendalian Mutu Dan Keamanan Hasil Perikanan  Pekanbaru</v>
      </c>
      <c r="G273" t="s">
        <v>951</v>
      </c>
    </row>
    <row r="274" spans="1:7" x14ac:dyDescent="0.25">
      <c r="A274" s="5" t="s">
        <v>416</v>
      </c>
      <c r="B274" s="7" t="s">
        <v>831</v>
      </c>
      <c r="C274" s="4" t="s">
        <v>534</v>
      </c>
      <c r="D274" t="s">
        <v>535</v>
      </c>
      <c r="E274" t="s">
        <v>934</v>
      </c>
      <c r="F274" t="str">
        <f t="shared" si="4"/>
        <v>Dinas Kelautan Dan Perikanan Provinsi Riau</v>
      </c>
      <c r="G274" t="s">
        <v>951</v>
      </c>
    </row>
    <row r="275" spans="1:7" x14ac:dyDescent="0.25">
      <c r="A275" s="5" t="s">
        <v>417</v>
      </c>
      <c r="B275" s="7" t="s">
        <v>831</v>
      </c>
      <c r="C275" s="4" t="s">
        <v>534</v>
      </c>
      <c r="D275" t="s">
        <v>535</v>
      </c>
      <c r="E275" t="s">
        <v>934</v>
      </c>
      <c r="F275" t="str">
        <f t="shared" si="4"/>
        <v>Dinas Kelautan Dan Perikanan Provinsi Riau</v>
      </c>
      <c r="G275" t="s">
        <v>951</v>
      </c>
    </row>
    <row r="276" spans="1:7" x14ac:dyDescent="0.25">
      <c r="A276" s="5" t="s">
        <v>418</v>
      </c>
      <c r="B276" s="7" t="s">
        <v>831</v>
      </c>
      <c r="C276" s="4" t="s">
        <v>534</v>
      </c>
      <c r="D276" t="s">
        <v>535</v>
      </c>
      <c r="E276" t="s">
        <v>934</v>
      </c>
      <c r="F276" t="str">
        <f t="shared" si="4"/>
        <v>Dinas Kelautan Dan Perikanan Provinsi Riau</v>
      </c>
      <c r="G276" t="s">
        <v>951</v>
      </c>
    </row>
    <row r="277" spans="1:7" x14ac:dyDescent="0.25">
      <c r="A277" s="5" t="s">
        <v>419</v>
      </c>
      <c r="B277" s="7" t="s">
        <v>831</v>
      </c>
      <c r="C277" s="4" t="s">
        <v>534</v>
      </c>
      <c r="D277" t="s">
        <v>535</v>
      </c>
      <c r="E277" t="s">
        <v>934</v>
      </c>
      <c r="F277" t="str">
        <f t="shared" si="4"/>
        <v>Dinas Kelautan Dan Perikanan Provinsi Riau</v>
      </c>
      <c r="G277" t="s">
        <v>951</v>
      </c>
    </row>
    <row r="278" spans="1:7" x14ac:dyDescent="0.25">
      <c r="A278" s="5" t="s">
        <v>217</v>
      </c>
      <c r="B278" s="7" t="s">
        <v>667</v>
      </c>
      <c r="C278" s="4" t="s">
        <v>554</v>
      </c>
      <c r="D278" t="s">
        <v>555</v>
      </c>
      <c r="E278" t="s">
        <v>934</v>
      </c>
      <c r="F278" t="str">
        <f t="shared" si="4"/>
        <v>Badan Pusat Statistik Prop. Riau</v>
      </c>
      <c r="G278" t="s">
        <v>952</v>
      </c>
    </row>
    <row r="279" spans="1:7" x14ac:dyDescent="0.25">
      <c r="A279" s="5" t="s">
        <v>218</v>
      </c>
      <c r="B279" s="7" t="s">
        <v>668</v>
      </c>
      <c r="C279" s="4" t="s">
        <v>554</v>
      </c>
      <c r="D279" t="s">
        <v>555</v>
      </c>
      <c r="E279" t="s">
        <v>934</v>
      </c>
      <c r="F279" t="str">
        <f t="shared" si="4"/>
        <v>Badan Pusat Statistik Kota Pekanbaru</v>
      </c>
      <c r="G279" t="s">
        <v>952</v>
      </c>
    </row>
    <row r="280" spans="1:7" x14ac:dyDescent="0.25">
      <c r="A280" s="5" t="s">
        <v>219</v>
      </c>
      <c r="B280" s="7" t="s">
        <v>669</v>
      </c>
      <c r="C280" s="4" t="s">
        <v>554</v>
      </c>
      <c r="D280" t="s">
        <v>555</v>
      </c>
      <c r="E280" t="s">
        <v>935</v>
      </c>
      <c r="F280" t="str">
        <f t="shared" si="4"/>
        <v>Badan Pusat Statistik Kab. Bengkalis</v>
      </c>
      <c r="G280" t="s">
        <v>952</v>
      </c>
    </row>
    <row r="281" spans="1:7" x14ac:dyDescent="0.25">
      <c r="A281" s="5" t="s">
        <v>220</v>
      </c>
      <c r="B281" s="7" t="s">
        <v>670</v>
      </c>
      <c r="C281" s="4" t="s">
        <v>554</v>
      </c>
      <c r="D281" t="s">
        <v>555</v>
      </c>
      <c r="E281" t="s">
        <v>934</v>
      </c>
      <c r="F281" t="str">
        <f t="shared" si="4"/>
        <v>Badan Pusat Statistik Kab. Kampar</v>
      </c>
      <c r="G281" t="s">
        <v>952</v>
      </c>
    </row>
    <row r="282" spans="1:7" x14ac:dyDescent="0.25">
      <c r="A282" s="5" t="s">
        <v>221</v>
      </c>
      <c r="B282" s="7" t="s">
        <v>671</v>
      </c>
      <c r="C282" s="4" t="s">
        <v>554</v>
      </c>
      <c r="D282" t="s">
        <v>555</v>
      </c>
      <c r="E282" t="s">
        <v>936</v>
      </c>
      <c r="F282" t="str">
        <f t="shared" si="4"/>
        <v>Badan Pusat Statistik Kab. Indragiri Hulu</v>
      </c>
      <c r="G282" t="s">
        <v>952</v>
      </c>
    </row>
    <row r="283" spans="1:7" x14ac:dyDescent="0.25">
      <c r="A283" s="5" t="s">
        <v>222</v>
      </c>
      <c r="B283" s="7" t="s">
        <v>672</v>
      </c>
      <c r="C283" s="4" t="s">
        <v>554</v>
      </c>
      <c r="D283" t="s">
        <v>555</v>
      </c>
      <c r="E283" t="s">
        <v>936</v>
      </c>
      <c r="F283" t="str">
        <f t="shared" si="4"/>
        <v>Badan Pusat Statistik Kab. Indragiri Hilir</v>
      </c>
      <c r="G283" t="s">
        <v>952</v>
      </c>
    </row>
    <row r="284" spans="1:7" x14ac:dyDescent="0.25">
      <c r="A284" s="5" t="s">
        <v>319</v>
      </c>
      <c r="B284" s="7" t="s">
        <v>734</v>
      </c>
      <c r="C284" s="4" t="s">
        <v>554</v>
      </c>
      <c r="D284" t="s">
        <v>555</v>
      </c>
      <c r="E284" t="s">
        <v>936</v>
      </c>
      <c r="F284" t="str">
        <f t="shared" si="4"/>
        <v>Badan Pusat Statistik Kab. Kuantan Singingi</v>
      </c>
      <c r="G284" t="s">
        <v>952</v>
      </c>
    </row>
    <row r="285" spans="1:7" x14ac:dyDescent="0.25">
      <c r="A285" s="5" t="s">
        <v>320</v>
      </c>
      <c r="B285" s="7" t="s">
        <v>735</v>
      </c>
      <c r="C285" s="4" t="s">
        <v>554</v>
      </c>
      <c r="D285" t="s">
        <v>555</v>
      </c>
      <c r="E285" t="s">
        <v>934</v>
      </c>
      <c r="F285" t="str">
        <f t="shared" si="4"/>
        <v>Badan Pusat Statistik Kab. Pelalawan</v>
      </c>
      <c r="G285" t="s">
        <v>952</v>
      </c>
    </row>
    <row r="286" spans="1:7" x14ac:dyDescent="0.25">
      <c r="A286" s="5" t="s">
        <v>321</v>
      </c>
      <c r="B286" s="7" t="s">
        <v>736</v>
      </c>
      <c r="C286" s="4" t="s">
        <v>554</v>
      </c>
      <c r="D286" t="s">
        <v>555</v>
      </c>
      <c r="E286" t="s">
        <v>934</v>
      </c>
      <c r="F286" t="str">
        <f t="shared" si="4"/>
        <v>Badan Pusat Statistik Kab. Siak</v>
      </c>
      <c r="G286" t="s">
        <v>952</v>
      </c>
    </row>
    <row r="287" spans="1:7" x14ac:dyDescent="0.25">
      <c r="A287" s="5" t="s">
        <v>322</v>
      </c>
      <c r="B287" s="7" t="s">
        <v>737</v>
      </c>
      <c r="C287" s="4" t="s">
        <v>554</v>
      </c>
      <c r="D287" t="s">
        <v>555</v>
      </c>
      <c r="E287" t="s">
        <v>934</v>
      </c>
      <c r="F287" t="str">
        <f t="shared" si="4"/>
        <v>Badan Pusat Statistik Kab. Rokan Hulu</v>
      </c>
      <c r="G287" t="s">
        <v>952</v>
      </c>
    </row>
    <row r="288" spans="1:7" x14ac:dyDescent="0.25">
      <c r="A288" s="5" t="s">
        <v>323</v>
      </c>
      <c r="B288" s="7" t="s">
        <v>738</v>
      </c>
      <c r="C288" s="4" t="s">
        <v>554</v>
      </c>
      <c r="D288" t="s">
        <v>555</v>
      </c>
      <c r="E288" t="s">
        <v>935</v>
      </c>
      <c r="F288" t="str">
        <f t="shared" si="4"/>
        <v>Badan Pusat Statistik Kab. Rokan Hilir</v>
      </c>
      <c r="G288" t="s">
        <v>952</v>
      </c>
    </row>
    <row r="289" spans="1:7" x14ac:dyDescent="0.25">
      <c r="A289" s="5" t="s">
        <v>324</v>
      </c>
      <c r="B289" s="7" t="s">
        <v>739</v>
      </c>
      <c r="C289" s="4" t="s">
        <v>554</v>
      </c>
      <c r="D289" t="s">
        <v>555</v>
      </c>
      <c r="E289" t="s">
        <v>935</v>
      </c>
      <c r="F289" t="str">
        <f t="shared" si="4"/>
        <v>Badan Pusat Statistik Kota Dumai</v>
      </c>
      <c r="G289" t="s">
        <v>952</v>
      </c>
    </row>
    <row r="290" spans="1:7" x14ac:dyDescent="0.25">
      <c r="A290" s="5" t="s">
        <v>404</v>
      </c>
      <c r="B290" s="7" t="s">
        <v>798</v>
      </c>
      <c r="C290" s="4" t="s">
        <v>554</v>
      </c>
      <c r="D290" t="s">
        <v>555</v>
      </c>
      <c r="E290" t="s">
        <v>935</v>
      </c>
      <c r="F290" t="str">
        <f t="shared" si="4"/>
        <v>Badan Pusat Statistik Kabupaten Kepulauan Meranti</v>
      </c>
      <c r="G290" t="s">
        <v>952</v>
      </c>
    </row>
    <row r="291" spans="1:7" x14ac:dyDescent="0.25">
      <c r="A291" s="5" t="s">
        <v>101</v>
      </c>
      <c r="B291" s="7" t="s">
        <v>10</v>
      </c>
      <c r="C291" s="4" t="s">
        <v>514</v>
      </c>
      <c r="D291" t="s">
        <v>515</v>
      </c>
      <c r="E291" t="s">
        <v>934</v>
      </c>
      <c r="F291" t="str">
        <f t="shared" si="4"/>
        <v>Bappeda Provinsi Riau</v>
      </c>
      <c r="G291" t="s">
        <v>954</v>
      </c>
    </row>
    <row r="292" spans="1:7" x14ac:dyDescent="0.25">
      <c r="A292" s="5" t="s">
        <v>114</v>
      </c>
      <c r="B292" s="7" t="s">
        <v>621</v>
      </c>
      <c r="C292" s="4" t="s">
        <v>526</v>
      </c>
      <c r="D292" t="s">
        <v>527</v>
      </c>
      <c r="E292" t="s">
        <v>935</v>
      </c>
      <c r="F292" t="str">
        <f t="shared" si="4"/>
        <v>Kantor Pertanahan Kabupaten Kepulauan Meranti</v>
      </c>
      <c r="G292" t="s">
        <v>955</v>
      </c>
    </row>
    <row r="293" spans="1:7" x14ac:dyDescent="0.25">
      <c r="A293" s="5" t="s">
        <v>223</v>
      </c>
      <c r="B293" s="7" t="s">
        <v>673</v>
      </c>
      <c r="C293" s="4" t="s">
        <v>526</v>
      </c>
      <c r="D293" t="s">
        <v>527</v>
      </c>
      <c r="E293" t="s">
        <v>934</v>
      </c>
      <c r="F293" t="str">
        <f t="shared" si="4"/>
        <v>Kantor Wilayah Badan Pertanahan Nasional Prop. Riau</v>
      </c>
      <c r="G293" t="s">
        <v>955</v>
      </c>
    </row>
    <row r="294" spans="1:7" x14ac:dyDescent="0.25">
      <c r="A294" s="5" t="s">
        <v>224</v>
      </c>
      <c r="B294" s="7" t="s">
        <v>674</v>
      </c>
      <c r="C294" s="4" t="s">
        <v>526</v>
      </c>
      <c r="D294" t="s">
        <v>527</v>
      </c>
      <c r="E294" t="s">
        <v>934</v>
      </c>
      <c r="F294" t="str">
        <f t="shared" si="4"/>
        <v>Kantor Pertanahan Kota Pekanbaru</v>
      </c>
      <c r="G294" t="s">
        <v>955</v>
      </c>
    </row>
    <row r="295" spans="1:7" x14ac:dyDescent="0.25">
      <c r="A295" s="5" t="s">
        <v>225</v>
      </c>
      <c r="B295" s="7" t="s">
        <v>675</v>
      </c>
      <c r="C295" s="4" t="s">
        <v>526</v>
      </c>
      <c r="D295" t="s">
        <v>527</v>
      </c>
      <c r="E295" t="s">
        <v>934</v>
      </c>
      <c r="F295" t="str">
        <f t="shared" si="4"/>
        <v>Kantor Pertanahan Kab. Kampar</v>
      </c>
      <c r="G295" t="s">
        <v>955</v>
      </c>
    </row>
    <row r="296" spans="1:7" x14ac:dyDescent="0.25">
      <c r="A296" s="5" t="s">
        <v>226</v>
      </c>
      <c r="B296" s="7" t="s">
        <v>676</v>
      </c>
      <c r="C296" s="4" t="s">
        <v>526</v>
      </c>
      <c r="D296" t="s">
        <v>527</v>
      </c>
      <c r="E296" t="s">
        <v>935</v>
      </c>
      <c r="F296" t="str">
        <f t="shared" si="4"/>
        <v>Kantor Pertanahan Kab. Bengkalis</v>
      </c>
      <c r="G296" t="s">
        <v>955</v>
      </c>
    </row>
    <row r="297" spans="1:7" x14ac:dyDescent="0.25">
      <c r="A297" s="5" t="s">
        <v>227</v>
      </c>
      <c r="B297" s="7" t="s">
        <v>677</v>
      </c>
      <c r="C297" s="4" t="s">
        <v>526</v>
      </c>
      <c r="D297" t="s">
        <v>527</v>
      </c>
      <c r="E297" t="s">
        <v>936</v>
      </c>
      <c r="F297" t="str">
        <f t="shared" si="4"/>
        <v>Kantor Pertanahan Kab. Indragiri Hulu</v>
      </c>
      <c r="G297" t="s">
        <v>955</v>
      </c>
    </row>
    <row r="298" spans="1:7" x14ac:dyDescent="0.25">
      <c r="A298" s="5" t="s">
        <v>228</v>
      </c>
      <c r="B298" s="7" t="s">
        <v>678</v>
      </c>
      <c r="C298" s="4" t="s">
        <v>526</v>
      </c>
      <c r="D298" t="s">
        <v>527</v>
      </c>
      <c r="E298" t="s">
        <v>936</v>
      </c>
      <c r="F298" t="str">
        <f t="shared" si="4"/>
        <v>Kantor Pertanahan Kab. Indragiri Hilir</v>
      </c>
      <c r="G298" t="s">
        <v>955</v>
      </c>
    </row>
    <row r="299" spans="1:7" x14ac:dyDescent="0.25">
      <c r="A299" s="5" t="s">
        <v>283</v>
      </c>
      <c r="B299" s="7" t="s">
        <v>722</v>
      </c>
      <c r="C299" s="4" t="s">
        <v>526</v>
      </c>
      <c r="D299" t="s">
        <v>527</v>
      </c>
      <c r="E299" t="s">
        <v>935</v>
      </c>
      <c r="F299" t="str">
        <f t="shared" si="4"/>
        <v>Kantor Pertanahan Kota Dumai</v>
      </c>
      <c r="G299" t="s">
        <v>955</v>
      </c>
    </row>
    <row r="300" spans="1:7" x14ac:dyDescent="0.25">
      <c r="A300" s="5" t="s">
        <v>325</v>
      </c>
      <c r="B300" s="7" t="s">
        <v>740</v>
      </c>
      <c r="C300" s="4" t="s">
        <v>526</v>
      </c>
      <c r="D300" t="s">
        <v>527</v>
      </c>
      <c r="E300" t="s">
        <v>934</v>
      </c>
      <c r="F300" t="str">
        <f t="shared" si="4"/>
        <v>Kantor Pertanahan Kab. Pelalawan</v>
      </c>
      <c r="G300" t="s">
        <v>955</v>
      </c>
    </row>
    <row r="301" spans="1:7" x14ac:dyDescent="0.25">
      <c r="A301" s="5" t="s">
        <v>326</v>
      </c>
      <c r="B301" s="7" t="s">
        <v>741</v>
      </c>
      <c r="C301" s="4" t="s">
        <v>526</v>
      </c>
      <c r="D301" t="s">
        <v>527</v>
      </c>
      <c r="E301" t="s">
        <v>934</v>
      </c>
      <c r="F301" t="str">
        <f t="shared" si="4"/>
        <v>Kantor Pertanahan Kab. Rokan Hulu</v>
      </c>
      <c r="G301" t="s">
        <v>955</v>
      </c>
    </row>
    <row r="302" spans="1:7" x14ac:dyDescent="0.25">
      <c r="A302" s="5" t="s">
        <v>327</v>
      </c>
      <c r="B302" s="7" t="s">
        <v>742</v>
      </c>
      <c r="C302" s="4" t="s">
        <v>526</v>
      </c>
      <c r="D302" t="s">
        <v>527</v>
      </c>
      <c r="E302" t="s">
        <v>935</v>
      </c>
      <c r="F302" t="str">
        <f t="shared" si="4"/>
        <v>Kantor Pertanahan Kab. Rokan Hilir</v>
      </c>
      <c r="G302" t="s">
        <v>955</v>
      </c>
    </row>
    <row r="303" spans="1:7" x14ac:dyDescent="0.25">
      <c r="A303" s="5" t="s">
        <v>328</v>
      </c>
      <c r="B303" s="7" t="s">
        <v>743</v>
      </c>
      <c r="C303" s="4" t="s">
        <v>526</v>
      </c>
      <c r="D303" t="s">
        <v>527</v>
      </c>
      <c r="E303" t="s">
        <v>934</v>
      </c>
      <c r="F303" t="str">
        <f t="shared" si="4"/>
        <v>Kantor Pertanahan Kab. Siak</v>
      </c>
      <c r="G303" t="s">
        <v>955</v>
      </c>
    </row>
    <row r="304" spans="1:7" x14ac:dyDescent="0.25">
      <c r="A304" s="5" t="s">
        <v>329</v>
      </c>
      <c r="B304" s="7" t="s">
        <v>744</v>
      </c>
      <c r="C304" s="4" t="s">
        <v>526</v>
      </c>
      <c r="D304" t="s">
        <v>527</v>
      </c>
      <c r="E304" t="s">
        <v>936</v>
      </c>
      <c r="F304" t="str">
        <f t="shared" si="4"/>
        <v>Kantor Pertanahan Kab. Kuantan Sangingi</v>
      </c>
      <c r="G304" t="s">
        <v>955</v>
      </c>
    </row>
    <row r="305" spans="1:7" x14ac:dyDescent="0.25">
      <c r="A305" s="5" t="s">
        <v>102</v>
      </c>
      <c r="B305" s="7" t="s">
        <v>827</v>
      </c>
      <c r="C305" s="4" t="s">
        <v>516</v>
      </c>
      <c r="D305" t="s">
        <v>517</v>
      </c>
      <c r="E305" t="s">
        <v>934</v>
      </c>
      <c r="F305" t="str">
        <f t="shared" si="4"/>
        <v>Dinas Perpustakaan Dan Kearsipan Provinsi Riau</v>
      </c>
      <c r="G305" t="s">
        <v>957</v>
      </c>
    </row>
    <row r="306" spans="1:7" x14ac:dyDescent="0.25">
      <c r="A306" s="5" t="s">
        <v>281</v>
      </c>
      <c r="B306" s="7" t="s">
        <v>720</v>
      </c>
      <c r="C306" s="4" t="s">
        <v>566</v>
      </c>
      <c r="D306" t="s">
        <v>567</v>
      </c>
      <c r="E306" t="s">
        <v>934</v>
      </c>
      <c r="F306" t="str">
        <f t="shared" si="4"/>
        <v>Balai Monitor Spektrum Frekuensi Radio Kelas I Pekanbaru</v>
      </c>
      <c r="G306" t="s">
        <v>956</v>
      </c>
    </row>
    <row r="307" spans="1:7" x14ac:dyDescent="0.25">
      <c r="A307" s="5" t="s">
        <v>113</v>
      </c>
      <c r="B307" s="7" t="s">
        <v>620</v>
      </c>
      <c r="C307" s="4" t="s">
        <v>524</v>
      </c>
      <c r="D307" t="s">
        <v>525</v>
      </c>
      <c r="E307" t="s">
        <v>935</v>
      </c>
      <c r="F307" t="str">
        <f t="shared" si="4"/>
        <v>Polres Kepulauan Meranti</v>
      </c>
      <c r="G307" t="s">
        <v>958</v>
      </c>
    </row>
    <row r="308" spans="1:7" x14ac:dyDescent="0.25">
      <c r="A308" s="5" t="s">
        <v>250</v>
      </c>
      <c r="B308" s="7" t="s">
        <v>690</v>
      </c>
      <c r="C308" s="4" t="s">
        <v>524</v>
      </c>
      <c r="D308" t="s">
        <v>525</v>
      </c>
      <c r="E308" t="s">
        <v>934</v>
      </c>
      <c r="F308" t="str">
        <f t="shared" si="4"/>
        <v>Bidkum Polda</v>
      </c>
      <c r="G308" t="s">
        <v>958</v>
      </c>
    </row>
    <row r="309" spans="1:7" x14ac:dyDescent="0.25">
      <c r="A309" s="5" t="s">
        <v>251</v>
      </c>
      <c r="B309" s="7" t="s">
        <v>691</v>
      </c>
      <c r="C309" s="4" t="s">
        <v>524</v>
      </c>
      <c r="D309" t="s">
        <v>525</v>
      </c>
      <c r="E309" t="s">
        <v>934</v>
      </c>
      <c r="F309" t="str">
        <f t="shared" si="4"/>
        <v>Bidhumas Polda</v>
      </c>
      <c r="G309" t="s">
        <v>958</v>
      </c>
    </row>
    <row r="310" spans="1:7" x14ac:dyDescent="0.25">
      <c r="A310" s="5" t="s">
        <v>330</v>
      </c>
      <c r="B310" s="7" t="s">
        <v>745</v>
      </c>
      <c r="C310" s="4" t="s">
        <v>524</v>
      </c>
      <c r="D310" t="s">
        <v>525</v>
      </c>
      <c r="E310" t="s">
        <v>934</v>
      </c>
      <c r="F310" t="str">
        <f t="shared" si="4"/>
        <v>Spripim Polda Riau</v>
      </c>
      <c r="G310" t="s">
        <v>958</v>
      </c>
    </row>
    <row r="311" spans="1:7" x14ac:dyDescent="0.25">
      <c r="A311" s="5" t="s">
        <v>331</v>
      </c>
      <c r="B311" s="7" t="s">
        <v>746</v>
      </c>
      <c r="C311" s="4" t="s">
        <v>524</v>
      </c>
      <c r="D311" t="s">
        <v>525</v>
      </c>
      <c r="E311" t="s">
        <v>934</v>
      </c>
      <c r="F311" t="str">
        <f t="shared" si="4"/>
        <v>Roops Polda Riau</v>
      </c>
      <c r="G311" t="s">
        <v>958</v>
      </c>
    </row>
    <row r="312" spans="1:7" x14ac:dyDescent="0.25">
      <c r="A312" s="5" t="s">
        <v>332</v>
      </c>
      <c r="B312" s="7" t="s">
        <v>747</v>
      </c>
      <c r="C312" s="4" t="s">
        <v>524</v>
      </c>
      <c r="D312" t="s">
        <v>525</v>
      </c>
      <c r="E312" t="s">
        <v>934</v>
      </c>
      <c r="F312" t="str">
        <f t="shared" si="4"/>
        <v>Yanma Polda Riau</v>
      </c>
      <c r="G312" t="s">
        <v>958</v>
      </c>
    </row>
    <row r="313" spans="1:7" x14ac:dyDescent="0.25">
      <c r="A313" s="5" t="s">
        <v>333</v>
      </c>
      <c r="B313" s="7" t="s">
        <v>748</v>
      </c>
      <c r="C313" s="4" t="s">
        <v>524</v>
      </c>
      <c r="D313" t="s">
        <v>525</v>
      </c>
      <c r="E313" t="s">
        <v>934</v>
      </c>
      <c r="F313" t="str">
        <f t="shared" si="4"/>
        <v>Ditintelkam Polda Riau</v>
      </c>
      <c r="G313" t="s">
        <v>958</v>
      </c>
    </row>
    <row r="314" spans="1:7" x14ac:dyDescent="0.25">
      <c r="A314" s="5" t="s">
        <v>334</v>
      </c>
      <c r="B314" s="7" t="s">
        <v>749</v>
      </c>
      <c r="C314" s="4" t="s">
        <v>524</v>
      </c>
      <c r="D314" t="s">
        <v>525</v>
      </c>
      <c r="E314" t="s">
        <v>934</v>
      </c>
      <c r="F314" t="str">
        <f t="shared" si="4"/>
        <v>Ditreskrimum Polda Riau</v>
      </c>
      <c r="G314" t="s">
        <v>958</v>
      </c>
    </row>
    <row r="315" spans="1:7" x14ac:dyDescent="0.25">
      <c r="A315" s="5" t="s">
        <v>335</v>
      </c>
      <c r="B315" s="7" t="s">
        <v>750</v>
      </c>
      <c r="C315" s="4" t="s">
        <v>524</v>
      </c>
      <c r="D315" t="s">
        <v>525</v>
      </c>
      <c r="E315" t="s">
        <v>934</v>
      </c>
      <c r="F315" t="str">
        <f t="shared" si="4"/>
        <v>Ditsamapta Polda Riau</v>
      </c>
      <c r="G315" t="s">
        <v>958</v>
      </c>
    </row>
    <row r="316" spans="1:7" x14ac:dyDescent="0.25">
      <c r="A316" s="5" t="s">
        <v>336</v>
      </c>
      <c r="B316" s="7" t="s">
        <v>751</v>
      </c>
      <c r="C316" s="4" t="s">
        <v>524</v>
      </c>
      <c r="D316" t="s">
        <v>525</v>
      </c>
      <c r="E316" t="s">
        <v>934</v>
      </c>
      <c r="F316" t="str">
        <f t="shared" si="4"/>
        <v>Ditlantas Polda Riau</v>
      </c>
      <c r="G316" t="s">
        <v>958</v>
      </c>
    </row>
    <row r="317" spans="1:7" x14ac:dyDescent="0.25">
      <c r="A317" s="5" t="s">
        <v>337</v>
      </c>
      <c r="B317" s="7" t="s">
        <v>875</v>
      </c>
      <c r="C317" s="4" t="s">
        <v>524</v>
      </c>
      <c r="D317" t="s">
        <v>525</v>
      </c>
      <c r="E317" t="s">
        <v>934</v>
      </c>
      <c r="F317" t="str">
        <f t="shared" si="4"/>
        <v>Ro Sdm Polda Riau</v>
      </c>
      <c r="G317" t="s">
        <v>958</v>
      </c>
    </row>
    <row r="318" spans="1:7" x14ac:dyDescent="0.25">
      <c r="A318" s="5" t="s">
        <v>338</v>
      </c>
      <c r="B318" s="7" t="s">
        <v>876</v>
      </c>
      <c r="C318" s="4" t="s">
        <v>524</v>
      </c>
      <c r="D318" t="s">
        <v>525</v>
      </c>
      <c r="E318" t="s">
        <v>934</v>
      </c>
      <c r="F318" t="str">
        <f t="shared" si="4"/>
        <v>Spn Polda Riau</v>
      </c>
      <c r="G318" t="s">
        <v>958</v>
      </c>
    </row>
    <row r="319" spans="1:7" x14ac:dyDescent="0.25">
      <c r="A319" s="5" t="s">
        <v>339</v>
      </c>
      <c r="B319" s="7" t="s">
        <v>752</v>
      </c>
      <c r="C319" s="4" t="s">
        <v>524</v>
      </c>
      <c r="D319" t="s">
        <v>525</v>
      </c>
      <c r="E319" t="s">
        <v>934</v>
      </c>
      <c r="F319" t="str">
        <f t="shared" si="4"/>
        <v>Rolog Polda Riau</v>
      </c>
      <c r="G319" t="s">
        <v>958</v>
      </c>
    </row>
    <row r="320" spans="1:7" x14ac:dyDescent="0.25">
      <c r="A320" s="5" t="s">
        <v>340</v>
      </c>
      <c r="B320" s="7" t="s">
        <v>753</v>
      </c>
      <c r="C320" s="4" t="s">
        <v>524</v>
      </c>
      <c r="D320" t="s">
        <v>525</v>
      </c>
      <c r="E320" t="s">
        <v>934</v>
      </c>
      <c r="F320" t="str">
        <f t="shared" si="4"/>
        <v>Satbrimob Polda Riau</v>
      </c>
      <c r="G320" t="s">
        <v>958</v>
      </c>
    </row>
    <row r="321" spans="1:7" x14ac:dyDescent="0.25">
      <c r="A321" s="5" t="s">
        <v>341</v>
      </c>
      <c r="B321" s="7" t="s">
        <v>754</v>
      </c>
      <c r="C321" s="4" t="s">
        <v>524</v>
      </c>
      <c r="D321" t="s">
        <v>525</v>
      </c>
      <c r="E321" t="s">
        <v>934</v>
      </c>
      <c r="F321" t="str">
        <f t="shared" si="4"/>
        <v>Ditpolairud Polda Riau</v>
      </c>
      <c r="G321" t="s">
        <v>958</v>
      </c>
    </row>
    <row r="322" spans="1:7" x14ac:dyDescent="0.25">
      <c r="A322" s="5" t="s">
        <v>342</v>
      </c>
      <c r="B322" s="7" t="s">
        <v>755</v>
      </c>
      <c r="C322" s="4" t="s">
        <v>524</v>
      </c>
      <c r="D322" t="s">
        <v>525</v>
      </c>
      <c r="E322" t="s">
        <v>934</v>
      </c>
      <c r="F322" t="str">
        <f t="shared" ref="F322:F385" si="5">PROPER(B322)</f>
        <v>Bidkeu Polda Riau</v>
      </c>
      <c r="G322" t="s">
        <v>958</v>
      </c>
    </row>
    <row r="323" spans="1:7" x14ac:dyDescent="0.25">
      <c r="A323" s="5" t="s">
        <v>343</v>
      </c>
      <c r="B323" s="7" t="s">
        <v>756</v>
      </c>
      <c r="C323" s="4" t="s">
        <v>524</v>
      </c>
      <c r="D323" t="s">
        <v>525</v>
      </c>
      <c r="E323" t="s">
        <v>934</v>
      </c>
      <c r="F323" t="str">
        <f t="shared" si="5"/>
        <v>Biddokkes Polda Riau</v>
      </c>
      <c r="G323" t="s">
        <v>958</v>
      </c>
    </row>
    <row r="324" spans="1:7" x14ac:dyDescent="0.25">
      <c r="A324" s="5" t="s">
        <v>344</v>
      </c>
      <c r="B324" s="7" t="s">
        <v>757</v>
      </c>
      <c r="C324" s="4" t="s">
        <v>524</v>
      </c>
      <c r="D324" t="s">
        <v>525</v>
      </c>
      <c r="E324" t="s">
        <v>934</v>
      </c>
      <c r="F324" t="str">
        <f t="shared" si="5"/>
        <v>Polresta Pakanbaru</v>
      </c>
      <c r="G324" t="s">
        <v>958</v>
      </c>
    </row>
    <row r="325" spans="1:7" x14ac:dyDescent="0.25">
      <c r="A325" s="5" t="s">
        <v>345</v>
      </c>
      <c r="B325" s="7" t="s">
        <v>758</v>
      </c>
      <c r="C325" s="4" t="s">
        <v>524</v>
      </c>
      <c r="D325" t="s">
        <v>525</v>
      </c>
      <c r="E325" t="s">
        <v>936</v>
      </c>
      <c r="F325" t="str">
        <f t="shared" si="5"/>
        <v>Polres Indragiri Hulu</v>
      </c>
      <c r="G325" t="s">
        <v>958</v>
      </c>
    </row>
    <row r="326" spans="1:7" x14ac:dyDescent="0.25">
      <c r="A326" s="5" t="s">
        <v>346</v>
      </c>
      <c r="B326" s="7" t="s">
        <v>759</v>
      </c>
      <c r="C326" s="4" t="s">
        <v>524</v>
      </c>
      <c r="D326" t="s">
        <v>525</v>
      </c>
      <c r="E326" t="s">
        <v>935</v>
      </c>
      <c r="F326" t="str">
        <f t="shared" si="5"/>
        <v>Polres Dumai</v>
      </c>
      <c r="G326" t="s">
        <v>958</v>
      </c>
    </row>
    <row r="327" spans="1:7" x14ac:dyDescent="0.25">
      <c r="A327" s="5" t="s">
        <v>347</v>
      </c>
      <c r="B327" s="7" t="s">
        <v>760</v>
      </c>
      <c r="C327" s="4" t="s">
        <v>524</v>
      </c>
      <c r="D327" t="s">
        <v>525</v>
      </c>
      <c r="E327" t="s">
        <v>934</v>
      </c>
      <c r="F327" t="str">
        <f t="shared" si="5"/>
        <v>Polres Kampar</v>
      </c>
      <c r="G327" t="s">
        <v>958</v>
      </c>
    </row>
    <row r="328" spans="1:7" x14ac:dyDescent="0.25">
      <c r="A328" s="5" t="s">
        <v>348</v>
      </c>
      <c r="B328" s="7" t="s">
        <v>761</v>
      </c>
      <c r="C328" s="4" t="s">
        <v>524</v>
      </c>
      <c r="D328" t="s">
        <v>525</v>
      </c>
      <c r="E328" t="s">
        <v>936</v>
      </c>
      <c r="F328" t="str">
        <f t="shared" si="5"/>
        <v>Polres Indragiri Hilir</v>
      </c>
      <c r="G328" t="s">
        <v>958</v>
      </c>
    </row>
    <row r="329" spans="1:7" x14ac:dyDescent="0.25">
      <c r="A329" s="5" t="s">
        <v>349</v>
      </c>
      <c r="B329" s="7" t="s">
        <v>762</v>
      </c>
      <c r="C329" s="4" t="s">
        <v>524</v>
      </c>
      <c r="D329" t="s">
        <v>525</v>
      </c>
      <c r="E329" t="s">
        <v>934</v>
      </c>
      <c r="F329" t="str">
        <f t="shared" si="5"/>
        <v>Bidpropam Polda Riau</v>
      </c>
      <c r="G329" t="s">
        <v>958</v>
      </c>
    </row>
    <row r="330" spans="1:7" x14ac:dyDescent="0.25">
      <c r="A330" s="5" t="s">
        <v>350</v>
      </c>
      <c r="B330" s="7" t="s">
        <v>877</v>
      </c>
      <c r="C330" s="4" t="s">
        <v>524</v>
      </c>
      <c r="D330" t="s">
        <v>525</v>
      </c>
      <c r="E330" t="s">
        <v>934</v>
      </c>
      <c r="F330" t="str">
        <f t="shared" si="5"/>
        <v>Bid Tik Polda Riau</v>
      </c>
      <c r="G330" t="s">
        <v>958</v>
      </c>
    </row>
    <row r="331" spans="1:7" x14ac:dyDescent="0.25">
      <c r="A331" s="5" t="s">
        <v>351</v>
      </c>
      <c r="B331" s="7" t="s">
        <v>763</v>
      </c>
      <c r="C331" s="4" t="s">
        <v>524</v>
      </c>
      <c r="D331" t="s">
        <v>525</v>
      </c>
      <c r="E331" t="s">
        <v>934</v>
      </c>
      <c r="F331" t="str">
        <f t="shared" si="5"/>
        <v>Ditresnarkoba Polda Riau</v>
      </c>
      <c r="G331" t="s">
        <v>958</v>
      </c>
    </row>
    <row r="332" spans="1:7" x14ac:dyDescent="0.25">
      <c r="A332" s="5" t="s">
        <v>352</v>
      </c>
      <c r="B332" s="7" t="s">
        <v>764</v>
      </c>
      <c r="C332" s="4" t="s">
        <v>524</v>
      </c>
      <c r="D332" t="s">
        <v>525</v>
      </c>
      <c r="E332" t="s">
        <v>935</v>
      </c>
      <c r="F332" t="str">
        <f t="shared" si="5"/>
        <v>Polres Bengkalis</v>
      </c>
      <c r="G332" t="s">
        <v>958</v>
      </c>
    </row>
    <row r="333" spans="1:7" x14ac:dyDescent="0.25">
      <c r="A333" s="5" t="s">
        <v>353</v>
      </c>
      <c r="B333" s="7" t="s">
        <v>765</v>
      </c>
      <c r="C333" s="4" t="s">
        <v>524</v>
      </c>
      <c r="D333" t="s">
        <v>525</v>
      </c>
      <c r="E333" t="s">
        <v>934</v>
      </c>
      <c r="F333" t="str">
        <f t="shared" si="5"/>
        <v>Polres Pelalawan</v>
      </c>
      <c r="G333" t="s">
        <v>958</v>
      </c>
    </row>
    <row r="334" spans="1:7" x14ac:dyDescent="0.25">
      <c r="A334" s="5" t="s">
        <v>354</v>
      </c>
      <c r="B334" s="7" t="s">
        <v>766</v>
      </c>
      <c r="C334" s="4" t="s">
        <v>524</v>
      </c>
      <c r="D334" t="s">
        <v>525</v>
      </c>
      <c r="E334" t="s">
        <v>935</v>
      </c>
      <c r="F334" t="str">
        <f t="shared" si="5"/>
        <v>Polres Rokan Hilir</v>
      </c>
      <c r="G334" t="s">
        <v>958</v>
      </c>
    </row>
    <row r="335" spans="1:7" x14ac:dyDescent="0.25">
      <c r="A335" s="5" t="s">
        <v>355</v>
      </c>
      <c r="B335" s="7" t="s">
        <v>891</v>
      </c>
      <c r="C335" s="4" t="s">
        <v>524</v>
      </c>
      <c r="D335" t="s">
        <v>525</v>
      </c>
      <c r="E335" t="s">
        <v>934</v>
      </c>
      <c r="F335" t="str">
        <f t="shared" si="5"/>
        <v>Bidlabfor Tingkat Ii Polda Riau</v>
      </c>
      <c r="G335" t="s">
        <v>958</v>
      </c>
    </row>
    <row r="336" spans="1:7" x14ac:dyDescent="0.25">
      <c r="A336" s="5" t="s">
        <v>357</v>
      </c>
      <c r="B336" s="7" t="s">
        <v>767</v>
      </c>
      <c r="C336" s="4" t="s">
        <v>524</v>
      </c>
      <c r="D336" t="s">
        <v>525</v>
      </c>
      <c r="E336" t="s">
        <v>934</v>
      </c>
      <c r="F336" t="str">
        <f t="shared" si="5"/>
        <v>Polres Rokan Hulu</v>
      </c>
      <c r="G336" t="s">
        <v>958</v>
      </c>
    </row>
    <row r="337" spans="1:7" x14ac:dyDescent="0.25">
      <c r="A337" s="5" t="s">
        <v>358</v>
      </c>
      <c r="B337" s="7" t="s">
        <v>768</v>
      </c>
      <c r="C337" s="4" t="s">
        <v>524</v>
      </c>
      <c r="D337" t="s">
        <v>525</v>
      </c>
      <c r="E337" t="s">
        <v>934</v>
      </c>
      <c r="F337" t="str">
        <f t="shared" si="5"/>
        <v>Polres Siak</v>
      </c>
      <c r="G337" t="s">
        <v>958</v>
      </c>
    </row>
    <row r="338" spans="1:7" x14ac:dyDescent="0.25">
      <c r="A338" s="5" t="s">
        <v>359</v>
      </c>
      <c r="B338" s="7" t="s">
        <v>769</v>
      </c>
      <c r="C338" s="4" t="s">
        <v>524</v>
      </c>
      <c r="D338" t="s">
        <v>525</v>
      </c>
      <c r="E338" t="s">
        <v>936</v>
      </c>
      <c r="F338" t="str">
        <f t="shared" si="5"/>
        <v>Polres Kuantan Singingi</v>
      </c>
      <c r="G338" t="s">
        <v>958</v>
      </c>
    </row>
    <row r="339" spans="1:7" x14ac:dyDescent="0.25">
      <c r="A339" s="5" t="s">
        <v>397</v>
      </c>
      <c r="B339" s="7" t="s">
        <v>791</v>
      </c>
      <c r="C339" s="4" t="s">
        <v>524</v>
      </c>
      <c r="D339" t="s">
        <v>525</v>
      </c>
      <c r="E339" t="s">
        <v>934</v>
      </c>
      <c r="F339" t="str">
        <f t="shared" si="5"/>
        <v>Itwasda Polda Riau</v>
      </c>
      <c r="G339" t="s">
        <v>958</v>
      </c>
    </row>
    <row r="340" spans="1:7" x14ac:dyDescent="0.25">
      <c r="A340" s="5" t="s">
        <v>398</v>
      </c>
      <c r="B340" s="7" t="s">
        <v>792</v>
      </c>
      <c r="C340" s="4" t="s">
        <v>524</v>
      </c>
      <c r="D340" t="s">
        <v>525</v>
      </c>
      <c r="E340" t="s">
        <v>934</v>
      </c>
      <c r="F340" t="str">
        <f t="shared" si="5"/>
        <v>Rorena Polda Riau</v>
      </c>
      <c r="G340" t="s">
        <v>958</v>
      </c>
    </row>
    <row r="341" spans="1:7" x14ac:dyDescent="0.25">
      <c r="A341" s="5" t="s">
        <v>399</v>
      </c>
      <c r="B341" s="7" t="s">
        <v>793</v>
      </c>
      <c r="C341" s="4" t="s">
        <v>524</v>
      </c>
      <c r="D341" t="s">
        <v>525</v>
      </c>
      <c r="E341" t="s">
        <v>934</v>
      </c>
      <c r="F341" t="str">
        <f t="shared" si="5"/>
        <v>Ditbinmas Polda Riau</v>
      </c>
      <c r="G341" t="s">
        <v>958</v>
      </c>
    </row>
    <row r="342" spans="1:7" x14ac:dyDescent="0.25">
      <c r="A342" s="5" t="s">
        <v>400</v>
      </c>
      <c r="B342" s="7" t="s">
        <v>794</v>
      </c>
      <c r="C342" s="4" t="s">
        <v>524</v>
      </c>
      <c r="D342" t="s">
        <v>525</v>
      </c>
      <c r="E342" t="s">
        <v>934</v>
      </c>
      <c r="F342" t="str">
        <f t="shared" si="5"/>
        <v>Ditreskrimsus Polda Riau</v>
      </c>
      <c r="G342" t="s">
        <v>958</v>
      </c>
    </row>
    <row r="343" spans="1:7" x14ac:dyDescent="0.25">
      <c r="A343" s="5" t="s">
        <v>401</v>
      </c>
      <c r="B343" s="7" t="s">
        <v>795</v>
      </c>
      <c r="C343" s="4" t="s">
        <v>524</v>
      </c>
      <c r="D343" t="s">
        <v>525</v>
      </c>
      <c r="E343" t="s">
        <v>934</v>
      </c>
      <c r="F343" t="str">
        <f t="shared" si="5"/>
        <v>Ditpamobvit Polda Riau</v>
      </c>
      <c r="G343" t="s">
        <v>958</v>
      </c>
    </row>
    <row r="344" spans="1:7" x14ac:dyDescent="0.25">
      <c r="A344" s="5" t="s">
        <v>402</v>
      </c>
      <c r="B344" s="7" t="s">
        <v>796</v>
      </c>
      <c r="C344" s="4" t="s">
        <v>524</v>
      </c>
      <c r="D344" t="s">
        <v>525</v>
      </c>
      <c r="E344" t="s">
        <v>934</v>
      </c>
      <c r="F344" t="str">
        <f t="shared" si="5"/>
        <v>Rumkit Bhayangkara Pekanbaru</v>
      </c>
      <c r="G344" t="s">
        <v>958</v>
      </c>
    </row>
    <row r="345" spans="1:7" x14ac:dyDescent="0.25">
      <c r="A345" s="5" t="s">
        <v>229</v>
      </c>
      <c r="B345" s="7" t="s">
        <v>848</v>
      </c>
      <c r="C345" s="4" t="s">
        <v>556</v>
      </c>
      <c r="D345" t="s">
        <v>557</v>
      </c>
      <c r="E345" t="s">
        <v>934</v>
      </c>
      <c r="F345" t="str">
        <f t="shared" si="5"/>
        <v>Balai Besar Pengawas Obat Dan Makanan Pekan Baru</v>
      </c>
      <c r="G345" t="s">
        <v>959</v>
      </c>
    </row>
    <row r="346" spans="1:7" x14ac:dyDescent="0.25">
      <c r="A346" s="5" t="s">
        <v>382</v>
      </c>
      <c r="B346" s="7" t="s">
        <v>919</v>
      </c>
      <c r="C346" s="4" t="s">
        <v>556</v>
      </c>
      <c r="D346" t="s">
        <v>557</v>
      </c>
      <c r="E346" t="s">
        <v>935</v>
      </c>
      <c r="F346" t="str">
        <f t="shared" si="5"/>
        <v>Loka Pom Di Kota Dumai</v>
      </c>
      <c r="G346" t="s">
        <v>959</v>
      </c>
    </row>
    <row r="347" spans="1:7" x14ac:dyDescent="0.25">
      <c r="A347" s="5" t="s">
        <v>410</v>
      </c>
      <c r="B347" s="7" t="s">
        <v>920</v>
      </c>
      <c r="C347" s="4" t="s">
        <v>556</v>
      </c>
      <c r="D347" t="s">
        <v>557</v>
      </c>
      <c r="E347" t="s">
        <v>936</v>
      </c>
      <c r="F347" t="str">
        <f t="shared" si="5"/>
        <v>Loka Pom Di Kabupaten Indragiri Hulu</v>
      </c>
      <c r="G347" t="s">
        <v>959</v>
      </c>
    </row>
    <row r="348" spans="1:7" x14ac:dyDescent="0.25">
      <c r="A348" s="5" t="s">
        <v>116</v>
      </c>
      <c r="B348" s="7" t="s">
        <v>836</v>
      </c>
      <c r="C348" s="4" t="s">
        <v>530</v>
      </c>
      <c r="D348" t="s">
        <v>531</v>
      </c>
      <c r="E348" t="s">
        <v>934</v>
      </c>
      <c r="F348" t="str">
        <f t="shared" si="5"/>
        <v>Dinas Penanaman Modal Dan Pelayanan Terpadu Satu Pintu Provinsi Riau</v>
      </c>
      <c r="G348" t="s">
        <v>960</v>
      </c>
    </row>
    <row r="349" spans="1:7" x14ac:dyDescent="0.25">
      <c r="A349" s="5" t="s">
        <v>107</v>
      </c>
      <c r="B349" s="7" t="s">
        <v>618</v>
      </c>
      <c r="C349" s="4" t="s">
        <v>522</v>
      </c>
      <c r="D349" t="s">
        <v>523</v>
      </c>
      <c r="E349" t="s">
        <v>936</v>
      </c>
      <c r="F349" t="str">
        <f t="shared" si="5"/>
        <v>Badan Narkotika Nasional Kabupaten Kuantan Singingi</v>
      </c>
      <c r="G349" t="s">
        <v>953</v>
      </c>
    </row>
    <row r="350" spans="1:7" x14ac:dyDescent="0.25">
      <c r="A350" s="5" t="s">
        <v>136</v>
      </c>
      <c r="B350" s="7" t="s">
        <v>630</v>
      </c>
      <c r="C350" s="4" t="s">
        <v>522</v>
      </c>
      <c r="D350" t="s">
        <v>523</v>
      </c>
      <c r="E350" t="s">
        <v>935</v>
      </c>
      <c r="F350" t="str">
        <f t="shared" si="5"/>
        <v>Badan Narkotika Nasional Kota Dumai</v>
      </c>
      <c r="G350" t="s">
        <v>953</v>
      </c>
    </row>
    <row r="351" spans="1:7" x14ac:dyDescent="0.25">
      <c r="A351" s="5" t="s">
        <v>196</v>
      </c>
      <c r="B351" s="7" t="s">
        <v>646</v>
      </c>
      <c r="C351" s="4" t="s">
        <v>522</v>
      </c>
      <c r="D351" t="s">
        <v>523</v>
      </c>
      <c r="E351" t="s">
        <v>934</v>
      </c>
      <c r="F351" t="str">
        <f t="shared" si="5"/>
        <v>Badan Narkotika Nasional Kabupaten Pelalawan</v>
      </c>
      <c r="G351" t="s">
        <v>953</v>
      </c>
    </row>
    <row r="352" spans="1:7" x14ac:dyDescent="0.25">
      <c r="A352" s="5" t="s">
        <v>405</v>
      </c>
      <c r="B352" s="7" t="s">
        <v>799</v>
      </c>
      <c r="C352" s="4" t="s">
        <v>522</v>
      </c>
      <c r="D352" t="s">
        <v>523</v>
      </c>
      <c r="E352" t="s">
        <v>934</v>
      </c>
      <c r="F352" t="str">
        <f t="shared" si="5"/>
        <v>Badan Narkotika Nasional Provinsi Riau</v>
      </c>
      <c r="G352" t="s">
        <v>953</v>
      </c>
    </row>
    <row r="353" spans="1:7" x14ac:dyDescent="0.25">
      <c r="A353" s="5" t="s">
        <v>409</v>
      </c>
      <c r="B353" s="7" t="s">
        <v>802</v>
      </c>
      <c r="C353" s="4" t="s">
        <v>522</v>
      </c>
      <c r="D353" t="s">
        <v>523</v>
      </c>
      <c r="E353" t="s">
        <v>934</v>
      </c>
      <c r="F353" t="str">
        <f t="shared" si="5"/>
        <v>Badan Narkotika Nasional Kota Pekanbaru</v>
      </c>
      <c r="G353" t="s">
        <v>953</v>
      </c>
    </row>
    <row r="354" spans="1:7" x14ac:dyDescent="0.25">
      <c r="A354" s="5" t="s">
        <v>230</v>
      </c>
      <c r="B354" s="7" t="s">
        <v>849</v>
      </c>
      <c r="C354" s="4" t="s">
        <v>558</v>
      </c>
      <c r="D354" t="s">
        <v>559</v>
      </c>
      <c r="E354" t="s">
        <v>934</v>
      </c>
      <c r="F354" t="str">
        <f t="shared" si="5"/>
        <v>Perwakilan Badan Kependudukan Dan Keluarga Berencana Nasional Provinsi Riau</v>
      </c>
      <c r="G354" t="s">
        <v>961</v>
      </c>
    </row>
    <row r="355" spans="1:7" x14ac:dyDescent="0.25">
      <c r="A355" s="5" t="s">
        <v>159</v>
      </c>
      <c r="B355" s="7" t="s">
        <v>637</v>
      </c>
      <c r="C355" s="4" t="s">
        <v>548</v>
      </c>
      <c r="D355" t="s">
        <v>549</v>
      </c>
      <c r="E355" t="s">
        <v>934</v>
      </c>
      <c r="F355" t="str">
        <f t="shared" si="5"/>
        <v>Stasiun Klimatologi Riau</v>
      </c>
      <c r="G355" t="s">
        <v>962</v>
      </c>
    </row>
    <row r="356" spans="1:7" x14ac:dyDescent="0.25">
      <c r="A356" s="5" t="s">
        <v>232</v>
      </c>
      <c r="B356" s="7" t="s">
        <v>679</v>
      </c>
      <c r="C356" s="4" t="s">
        <v>548</v>
      </c>
      <c r="D356" t="s">
        <v>549</v>
      </c>
      <c r="E356" t="s">
        <v>934</v>
      </c>
      <c r="F356" t="str">
        <f t="shared" si="5"/>
        <v>Stasiun Meteorologi Sultan Syarif Kasim Ii</v>
      </c>
      <c r="G356" t="s">
        <v>962</v>
      </c>
    </row>
    <row r="357" spans="1:7" x14ac:dyDescent="0.25">
      <c r="A357" s="5" t="s">
        <v>58</v>
      </c>
      <c r="B357" s="7" t="s">
        <v>59</v>
      </c>
      <c r="C357" s="4" t="s">
        <v>548</v>
      </c>
      <c r="D357" t="s">
        <v>549</v>
      </c>
      <c r="E357" t="s">
        <v>936</v>
      </c>
      <c r="F357" t="str">
        <f t="shared" si="5"/>
        <v>Stasiun Meteorologi Japura</v>
      </c>
      <c r="G357" t="s">
        <v>962</v>
      </c>
    </row>
    <row r="358" spans="1:7" x14ac:dyDescent="0.25">
      <c r="A358" s="5" t="s">
        <v>356</v>
      </c>
      <c r="B358" s="7" t="s">
        <v>878</v>
      </c>
      <c r="C358" s="4" t="s">
        <v>568</v>
      </c>
      <c r="D358" t="s">
        <v>569</v>
      </c>
      <c r="E358" t="s">
        <v>934</v>
      </c>
      <c r="F358" t="str">
        <f t="shared" si="5"/>
        <v>Kpu  Provinsi Riau</v>
      </c>
      <c r="G358" t="s">
        <v>963</v>
      </c>
    </row>
    <row r="359" spans="1:7" x14ac:dyDescent="0.25">
      <c r="A359" s="5" t="s">
        <v>360</v>
      </c>
      <c r="B359" s="7" t="s">
        <v>879</v>
      </c>
      <c r="C359" s="4" t="s">
        <v>568</v>
      </c>
      <c r="D359" t="s">
        <v>569</v>
      </c>
      <c r="E359" t="s">
        <v>936</v>
      </c>
      <c r="F359" t="str">
        <f t="shared" si="5"/>
        <v>Kpu  Kabupaten Kuantan Singingi</v>
      </c>
      <c r="G359" t="s">
        <v>963</v>
      </c>
    </row>
    <row r="360" spans="1:7" x14ac:dyDescent="0.25">
      <c r="A360" s="5" t="s">
        <v>361</v>
      </c>
      <c r="B360" s="7" t="s">
        <v>880</v>
      </c>
      <c r="C360" s="4" t="s">
        <v>568</v>
      </c>
      <c r="D360" t="s">
        <v>569</v>
      </c>
      <c r="E360" t="s">
        <v>936</v>
      </c>
      <c r="F360" t="str">
        <f t="shared" si="5"/>
        <v>Kpu  Kabupaten Indragiri Hulu</v>
      </c>
      <c r="G360" t="s">
        <v>963</v>
      </c>
    </row>
    <row r="361" spans="1:7" x14ac:dyDescent="0.25">
      <c r="A361" s="5" t="s">
        <v>362</v>
      </c>
      <c r="B361" s="7" t="s">
        <v>881</v>
      </c>
      <c r="C361" s="4" t="s">
        <v>568</v>
      </c>
      <c r="D361" t="s">
        <v>569</v>
      </c>
      <c r="E361" t="s">
        <v>936</v>
      </c>
      <c r="F361" t="str">
        <f t="shared" si="5"/>
        <v>Kpu  Kabupaten Indragiri Hilir</v>
      </c>
      <c r="G361" t="s">
        <v>963</v>
      </c>
    </row>
    <row r="362" spans="1:7" x14ac:dyDescent="0.25">
      <c r="A362" s="5" t="s">
        <v>363</v>
      </c>
      <c r="B362" s="7" t="s">
        <v>882</v>
      </c>
      <c r="C362" s="4" t="s">
        <v>568</v>
      </c>
      <c r="D362" t="s">
        <v>569</v>
      </c>
      <c r="E362" t="s">
        <v>934</v>
      </c>
      <c r="F362" t="str">
        <f t="shared" si="5"/>
        <v>Kpu  Kabupaten Pelalawan</v>
      </c>
      <c r="G362" t="s">
        <v>963</v>
      </c>
    </row>
    <row r="363" spans="1:7" x14ac:dyDescent="0.25">
      <c r="A363" s="5" t="s">
        <v>364</v>
      </c>
      <c r="B363" s="7" t="s">
        <v>915</v>
      </c>
      <c r="C363" s="4" t="s">
        <v>568</v>
      </c>
      <c r="D363" t="s">
        <v>569</v>
      </c>
      <c r="E363" t="s">
        <v>934</v>
      </c>
      <c r="F363" t="str">
        <f t="shared" si="5"/>
        <v>Kpu  Kabupaten Siak</v>
      </c>
      <c r="G363" t="s">
        <v>963</v>
      </c>
    </row>
    <row r="364" spans="1:7" x14ac:dyDescent="0.25">
      <c r="A364" s="5" t="s">
        <v>365</v>
      </c>
      <c r="B364" s="7" t="s">
        <v>883</v>
      </c>
      <c r="C364" s="4" t="s">
        <v>568</v>
      </c>
      <c r="D364" t="s">
        <v>569</v>
      </c>
      <c r="E364" t="s">
        <v>934</v>
      </c>
      <c r="F364" t="str">
        <f t="shared" si="5"/>
        <v>Kpu  Kabupaten Kampar</v>
      </c>
      <c r="G364" t="s">
        <v>963</v>
      </c>
    </row>
    <row r="365" spans="1:7" x14ac:dyDescent="0.25">
      <c r="A365" s="5" t="s">
        <v>366</v>
      </c>
      <c r="B365" s="7" t="s">
        <v>884</v>
      </c>
      <c r="C365" s="4" t="s">
        <v>568</v>
      </c>
      <c r="D365" t="s">
        <v>569</v>
      </c>
      <c r="E365" t="s">
        <v>934</v>
      </c>
      <c r="F365" t="str">
        <f t="shared" si="5"/>
        <v>Kpu  Kabupaten Rokan Hulu</v>
      </c>
      <c r="G365" t="s">
        <v>963</v>
      </c>
    </row>
    <row r="366" spans="1:7" x14ac:dyDescent="0.25">
      <c r="A366" s="5" t="s">
        <v>367</v>
      </c>
      <c r="B366" s="7" t="s">
        <v>885</v>
      </c>
      <c r="C366" s="4" t="s">
        <v>568</v>
      </c>
      <c r="D366" t="s">
        <v>569</v>
      </c>
      <c r="E366" t="s">
        <v>935</v>
      </c>
      <c r="F366" t="str">
        <f t="shared" si="5"/>
        <v>Kpu  Kabupaten Bengkalis</v>
      </c>
      <c r="G366" t="s">
        <v>963</v>
      </c>
    </row>
    <row r="367" spans="1:7" x14ac:dyDescent="0.25">
      <c r="A367" s="5" t="s">
        <v>368</v>
      </c>
      <c r="B367" s="7" t="s">
        <v>886</v>
      </c>
      <c r="C367" s="4" t="s">
        <v>568</v>
      </c>
      <c r="D367" t="s">
        <v>569</v>
      </c>
      <c r="E367" t="s">
        <v>935</v>
      </c>
      <c r="F367" t="str">
        <f t="shared" si="5"/>
        <v>Kpu  Kabupaten Rokan Hilir</v>
      </c>
      <c r="G367" t="s">
        <v>963</v>
      </c>
    </row>
    <row r="368" spans="1:7" x14ac:dyDescent="0.25">
      <c r="A368" s="5" t="s">
        <v>369</v>
      </c>
      <c r="B368" s="7" t="s">
        <v>887</v>
      </c>
      <c r="C368" s="4" t="s">
        <v>568</v>
      </c>
      <c r="D368" t="s">
        <v>569</v>
      </c>
      <c r="E368" t="s">
        <v>934</v>
      </c>
      <c r="F368" t="str">
        <f t="shared" si="5"/>
        <v>Kpu  Kota Pekanbaru</v>
      </c>
      <c r="G368" t="s">
        <v>963</v>
      </c>
    </row>
    <row r="369" spans="1:7" x14ac:dyDescent="0.25">
      <c r="A369" s="5" t="s">
        <v>370</v>
      </c>
      <c r="B369" s="7" t="s">
        <v>888</v>
      </c>
      <c r="C369" s="4" t="s">
        <v>568</v>
      </c>
      <c r="D369" t="s">
        <v>569</v>
      </c>
      <c r="E369" t="s">
        <v>935</v>
      </c>
      <c r="F369" t="str">
        <f t="shared" si="5"/>
        <v>Kpu  Kota Dumai</v>
      </c>
      <c r="G369" t="s">
        <v>963</v>
      </c>
    </row>
    <row r="370" spans="1:7" x14ac:dyDescent="0.25">
      <c r="A370" s="5" t="s">
        <v>381</v>
      </c>
      <c r="B370" s="7" t="s">
        <v>889</v>
      </c>
      <c r="C370" s="4" t="s">
        <v>568</v>
      </c>
      <c r="D370" t="s">
        <v>569</v>
      </c>
      <c r="E370" t="s">
        <v>935</v>
      </c>
      <c r="F370" t="str">
        <f t="shared" si="5"/>
        <v>Kpu Kab. Kepulauan Meranti</v>
      </c>
      <c r="G370" t="s">
        <v>963</v>
      </c>
    </row>
    <row r="371" spans="1:7" x14ac:dyDescent="0.25">
      <c r="A371" s="5" t="s">
        <v>378</v>
      </c>
      <c r="B371" s="7" t="s">
        <v>916</v>
      </c>
      <c r="C371" s="4" t="s">
        <v>570</v>
      </c>
      <c r="D371" t="s">
        <v>571</v>
      </c>
      <c r="E371" t="s">
        <v>934</v>
      </c>
      <c r="F371" t="str">
        <f t="shared" si="5"/>
        <v>Kantor Regional Xii Badan Kepegawaian Negara Pekanbaru</v>
      </c>
      <c r="G371" t="s">
        <v>964</v>
      </c>
    </row>
    <row r="372" spans="1:7" x14ac:dyDescent="0.25">
      <c r="A372" s="5" t="s">
        <v>29</v>
      </c>
      <c r="B372" s="7" t="s">
        <v>423</v>
      </c>
      <c r="C372" s="4" t="s">
        <v>560</v>
      </c>
      <c r="D372" t="s">
        <v>561</v>
      </c>
      <c r="E372" t="s">
        <v>934</v>
      </c>
      <c r="F372" t="str">
        <f t="shared" si="5"/>
        <v>Perwakilan Bpkp Provinsi Riau</v>
      </c>
      <c r="G372" t="s">
        <v>965</v>
      </c>
    </row>
    <row r="373" spans="1:7" x14ac:dyDescent="0.25">
      <c r="A373" s="5" t="s">
        <v>420</v>
      </c>
      <c r="B373" s="7" t="s">
        <v>855</v>
      </c>
      <c r="C373" s="4" t="s">
        <v>578</v>
      </c>
      <c r="D373" t="s">
        <v>579</v>
      </c>
      <c r="E373" t="s">
        <v>934</v>
      </c>
      <c r="F373" t="str">
        <f t="shared" si="5"/>
        <v>Dinas Perindustrian, Perdagangan, Koperasi, Usaha Kecil Dan Menengah Provinsi Riau</v>
      </c>
      <c r="G373" t="s">
        <v>948</v>
      </c>
    </row>
    <row r="374" spans="1:7" x14ac:dyDescent="0.25">
      <c r="A374" s="5" t="s">
        <v>100</v>
      </c>
      <c r="B374" s="7" t="s">
        <v>826</v>
      </c>
      <c r="C374" s="4" t="s">
        <v>512</v>
      </c>
      <c r="D374" t="s">
        <v>513</v>
      </c>
      <c r="E374" t="s">
        <v>934</v>
      </c>
      <c r="F374" t="str">
        <f t="shared" si="5"/>
        <v>Dinas Kepemudaan Dan Olah Raga Prov. Riau</v>
      </c>
      <c r="G374" t="s">
        <v>966</v>
      </c>
    </row>
    <row r="375" spans="1:7" x14ac:dyDescent="0.25">
      <c r="A375" s="5" t="s">
        <v>216</v>
      </c>
      <c r="B375" s="7" t="s">
        <v>666</v>
      </c>
      <c r="C375" s="4" t="s">
        <v>552</v>
      </c>
      <c r="D375" t="s">
        <v>553</v>
      </c>
      <c r="E375" t="s">
        <v>934</v>
      </c>
      <c r="F375" t="str">
        <f t="shared" si="5"/>
        <v>Balai Pelayanan Pelindungan Pekerja Migran Indonesia (Bp3Mi) Riau</v>
      </c>
      <c r="G375" t="s">
        <v>967</v>
      </c>
    </row>
    <row r="376" spans="1:7" x14ac:dyDescent="0.25">
      <c r="A376" s="5" t="s">
        <v>154</v>
      </c>
      <c r="B376" s="7" t="s">
        <v>846</v>
      </c>
      <c r="C376" s="4" t="s">
        <v>542</v>
      </c>
      <c r="D376" t="s">
        <v>543</v>
      </c>
      <c r="E376" t="s">
        <v>934</v>
      </c>
      <c r="F376" t="str">
        <f t="shared" si="5"/>
        <v>Kantor Pencarian Dan Pertolongan Pekanbaru</v>
      </c>
      <c r="G376" t="s">
        <v>968</v>
      </c>
    </row>
    <row r="377" spans="1:7" x14ac:dyDescent="0.25">
      <c r="A377" s="5" t="s">
        <v>181</v>
      </c>
      <c r="B377" s="7" t="s">
        <v>642</v>
      </c>
      <c r="C377" s="4" t="s">
        <v>550</v>
      </c>
      <c r="D377" t="s">
        <v>551</v>
      </c>
      <c r="E377" t="s">
        <v>934</v>
      </c>
      <c r="F377" t="str">
        <f t="shared" si="5"/>
        <v>Sekretariat Bawaslu Kabupaten Siak</v>
      </c>
      <c r="G377" t="s">
        <v>969</v>
      </c>
    </row>
    <row r="378" spans="1:7" x14ac:dyDescent="0.25">
      <c r="A378" s="5" t="s">
        <v>197</v>
      </c>
      <c r="B378" s="7" t="s">
        <v>647</v>
      </c>
      <c r="C378" s="4" t="s">
        <v>550</v>
      </c>
      <c r="D378" t="s">
        <v>551</v>
      </c>
      <c r="E378" t="s">
        <v>936</v>
      </c>
      <c r="F378" t="str">
        <f t="shared" si="5"/>
        <v>Sekretariat Bawaslu Kabupaten Indragiri Hilir</v>
      </c>
      <c r="G378" t="s">
        <v>969</v>
      </c>
    </row>
    <row r="379" spans="1:7" x14ac:dyDescent="0.25">
      <c r="A379" s="5" t="s">
        <v>198</v>
      </c>
      <c r="B379" s="7" t="s">
        <v>648</v>
      </c>
      <c r="C379" s="4" t="s">
        <v>550</v>
      </c>
      <c r="D379" t="s">
        <v>551</v>
      </c>
      <c r="E379" t="s">
        <v>934</v>
      </c>
      <c r="F379" t="str">
        <f t="shared" si="5"/>
        <v>Sekretariat Bawaslu Kabupaten Pelalawan</v>
      </c>
      <c r="G379" t="s">
        <v>969</v>
      </c>
    </row>
    <row r="380" spans="1:7" x14ac:dyDescent="0.25">
      <c r="A380" s="5" t="s">
        <v>199</v>
      </c>
      <c r="B380" s="7" t="s">
        <v>649</v>
      </c>
      <c r="C380" s="4" t="s">
        <v>550</v>
      </c>
      <c r="D380" t="s">
        <v>551</v>
      </c>
      <c r="E380" t="s">
        <v>935</v>
      </c>
      <c r="F380" t="str">
        <f t="shared" si="5"/>
        <v>Sekretariat Bawaslu Kabupaten Kepulauan Meranti</v>
      </c>
      <c r="G380" t="s">
        <v>969</v>
      </c>
    </row>
    <row r="381" spans="1:7" x14ac:dyDescent="0.25">
      <c r="A381" s="5" t="s">
        <v>407</v>
      </c>
      <c r="B381" s="7" t="s">
        <v>800</v>
      </c>
      <c r="C381" s="4" t="s">
        <v>550</v>
      </c>
      <c r="D381" t="s">
        <v>551</v>
      </c>
      <c r="E381" t="s">
        <v>934</v>
      </c>
      <c r="F381" t="str">
        <f t="shared" si="5"/>
        <v>Sekretariat Bawaslu Provinsi Riau</v>
      </c>
      <c r="G381" t="s">
        <v>969</v>
      </c>
    </row>
    <row r="382" spans="1:7" x14ac:dyDescent="0.25">
      <c r="A382" s="5" t="s">
        <v>408</v>
      </c>
      <c r="B382" s="7" t="s">
        <v>801</v>
      </c>
      <c r="C382" s="4" t="s">
        <v>550</v>
      </c>
      <c r="D382" t="s">
        <v>551</v>
      </c>
      <c r="E382" t="s">
        <v>935</v>
      </c>
      <c r="F382" t="str">
        <f t="shared" si="5"/>
        <v>Sekretariat Bawaslu Kota Dumai</v>
      </c>
      <c r="G382" t="s">
        <v>969</v>
      </c>
    </row>
    <row r="383" spans="1:7" x14ac:dyDescent="0.25">
      <c r="A383" s="5" t="s">
        <v>421</v>
      </c>
      <c r="B383" s="7" t="s">
        <v>929</v>
      </c>
      <c r="C383" s="4" t="s">
        <v>600</v>
      </c>
      <c r="D383" t="s">
        <v>601</v>
      </c>
      <c r="E383" t="s">
        <v>934</v>
      </c>
      <c r="F383" t="str">
        <f t="shared" si="5"/>
        <v>Rri Pekanbaru</v>
      </c>
      <c r="G383" t="s">
        <v>970</v>
      </c>
    </row>
    <row r="384" spans="1:7" x14ac:dyDescent="0.25">
      <c r="A384" s="5" t="s">
        <v>422</v>
      </c>
      <c r="B384" s="7" t="s">
        <v>930</v>
      </c>
      <c r="C384" s="4" t="s">
        <v>602</v>
      </c>
      <c r="D384" t="s">
        <v>603</v>
      </c>
      <c r="E384" t="s">
        <v>934</v>
      </c>
      <c r="F384" t="str">
        <f t="shared" si="5"/>
        <v>Tvri Stasiun Riau</v>
      </c>
      <c r="G384" t="s">
        <v>971</v>
      </c>
    </row>
    <row r="385" spans="1:7" x14ac:dyDescent="0.25">
      <c r="A385" s="5" t="s">
        <v>413</v>
      </c>
      <c r="B385" s="7" t="s">
        <v>830</v>
      </c>
      <c r="C385" s="4" t="s">
        <v>574</v>
      </c>
      <c r="D385" t="s">
        <v>575</v>
      </c>
      <c r="E385" t="s">
        <v>934</v>
      </c>
      <c r="F385" t="str">
        <f t="shared" si="5"/>
        <v>Dinas Pangan, Tanaman Pangan Dan Hortikultura Provinsi Riau</v>
      </c>
      <c r="G385" t="s">
        <v>972</v>
      </c>
    </row>
    <row r="386" spans="1:7" x14ac:dyDescent="0.25">
      <c r="A386" s="5" t="s">
        <v>415</v>
      </c>
      <c r="B386" s="7" t="s">
        <v>856</v>
      </c>
      <c r="C386" s="4" t="s">
        <v>576</v>
      </c>
      <c r="D386" t="s">
        <v>577</v>
      </c>
      <c r="E386" t="s">
        <v>934</v>
      </c>
      <c r="F386" t="str">
        <f t="shared" ref="F386:F449" si="6">PROPER(B386)</f>
        <v>Balai Karantina Hewan, Ikan, Dan Tumbuhan Riau</v>
      </c>
      <c r="G386" t="s">
        <v>973</v>
      </c>
    </row>
    <row r="387" spans="1:7" x14ac:dyDescent="0.25">
      <c r="A387" s="5" t="s">
        <v>436</v>
      </c>
      <c r="B387" s="7" t="s">
        <v>803</v>
      </c>
      <c r="C387" s="4" t="s">
        <v>582</v>
      </c>
      <c r="D387" t="s">
        <v>583</v>
      </c>
      <c r="E387" t="s">
        <v>934</v>
      </c>
      <c r="F387" t="str">
        <f t="shared" si="6"/>
        <v>Kantor Wilayah Kementerian Hukum Riau</v>
      </c>
      <c r="G387" t="s">
        <v>949</v>
      </c>
    </row>
    <row r="388" spans="1:7" x14ac:dyDescent="0.25">
      <c r="A388" s="5" t="s">
        <v>437</v>
      </c>
      <c r="B388" s="7" t="s">
        <v>803</v>
      </c>
      <c r="C388" s="4" t="s">
        <v>582</v>
      </c>
      <c r="D388" t="s">
        <v>583</v>
      </c>
      <c r="E388" t="s">
        <v>934</v>
      </c>
      <c r="F388" t="str">
        <f t="shared" si="6"/>
        <v>Kantor Wilayah Kementerian Hukum Riau</v>
      </c>
      <c r="G388" t="s">
        <v>949</v>
      </c>
    </row>
    <row r="389" spans="1:7" x14ac:dyDescent="0.25">
      <c r="A389" s="5" t="s">
        <v>469</v>
      </c>
      <c r="B389" s="7" t="s">
        <v>803</v>
      </c>
      <c r="C389" s="4" t="s">
        <v>582</v>
      </c>
      <c r="D389" t="s">
        <v>583</v>
      </c>
      <c r="E389" t="s">
        <v>934</v>
      </c>
      <c r="F389" t="str">
        <f t="shared" si="6"/>
        <v>Kantor Wilayah Kementerian Hukum Riau</v>
      </c>
      <c r="G389" t="s">
        <v>949</v>
      </c>
    </row>
    <row r="390" spans="1:7" x14ac:dyDescent="0.25">
      <c r="A390" s="5" t="s">
        <v>470</v>
      </c>
      <c r="B390" s="7" t="s">
        <v>803</v>
      </c>
      <c r="C390" s="4" t="s">
        <v>582</v>
      </c>
      <c r="D390" t="s">
        <v>583</v>
      </c>
      <c r="E390" t="s">
        <v>934</v>
      </c>
      <c r="F390" t="str">
        <f t="shared" si="6"/>
        <v>Kantor Wilayah Kementerian Hukum Riau</v>
      </c>
      <c r="G390" t="s">
        <v>949</v>
      </c>
    </row>
    <row r="391" spans="1:7" x14ac:dyDescent="0.25">
      <c r="A391" s="5" t="s">
        <v>472</v>
      </c>
      <c r="B391" s="7" t="s">
        <v>803</v>
      </c>
      <c r="C391" s="4" t="s">
        <v>582</v>
      </c>
      <c r="D391" t="s">
        <v>583</v>
      </c>
      <c r="E391" t="s">
        <v>934</v>
      </c>
      <c r="F391" t="str">
        <f t="shared" si="6"/>
        <v>Kantor Wilayah Kementerian Hukum Riau</v>
      </c>
      <c r="G391" t="s">
        <v>949</v>
      </c>
    </row>
    <row r="392" spans="1:7" x14ac:dyDescent="0.25">
      <c r="A392" s="5" t="s">
        <v>473</v>
      </c>
      <c r="B392" s="7" t="s">
        <v>803</v>
      </c>
      <c r="C392" s="4" t="s">
        <v>582</v>
      </c>
      <c r="D392" t="s">
        <v>583</v>
      </c>
      <c r="E392" t="s">
        <v>934</v>
      </c>
      <c r="F392" t="str">
        <f t="shared" si="6"/>
        <v>Kantor Wilayah Kementerian Hukum Riau</v>
      </c>
      <c r="G392" t="s">
        <v>949</v>
      </c>
    </row>
    <row r="393" spans="1:7" x14ac:dyDescent="0.25">
      <c r="A393" s="5" t="s">
        <v>471</v>
      </c>
      <c r="B393" s="7" t="s">
        <v>812</v>
      </c>
      <c r="C393" s="4" t="s">
        <v>586</v>
      </c>
      <c r="D393" t="s">
        <v>587</v>
      </c>
      <c r="E393" t="s">
        <v>934</v>
      </c>
      <c r="F393" t="str">
        <f t="shared" si="6"/>
        <v>Kantor Wilayah Kementerian Hak Asasi Manusia Riau</v>
      </c>
      <c r="G393" t="s">
        <v>974</v>
      </c>
    </row>
    <row r="394" spans="1:7" x14ac:dyDescent="0.25">
      <c r="A394" s="5" t="s">
        <v>438</v>
      </c>
      <c r="B394" s="7" t="s">
        <v>804</v>
      </c>
      <c r="C394" s="4" t="s">
        <v>584</v>
      </c>
      <c r="D394" t="s">
        <v>585</v>
      </c>
      <c r="E394" t="s">
        <v>934</v>
      </c>
      <c r="F394" t="str">
        <f t="shared" si="6"/>
        <v>Bapas Kelas I Pekanbaru</v>
      </c>
      <c r="G394" t="s">
        <v>975</v>
      </c>
    </row>
    <row r="395" spans="1:7" x14ac:dyDescent="0.25">
      <c r="A395" s="5" t="s">
        <v>439</v>
      </c>
      <c r="B395" s="7" t="s">
        <v>892</v>
      </c>
      <c r="C395" s="4" t="s">
        <v>584</v>
      </c>
      <c r="D395" t="s">
        <v>585</v>
      </c>
      <c r="E395" t="s">
        <v>934</v>
      </c>
      <c r="F395" t="str">
        <f t="shared" si="6"/>
        <v>Lapas Kelas Ii A Pekanbaru</v>
      </c>
      <c r="G395" t="s">
        <v>975</v>
      </c>
    </row>
    <row r="396" spans="1:7" x14ac:dyDescent="0.25">
      <c r="A396" s="5" t="s">
        <v>440</v>
      </c>
      <c r="B396" s="7" t="s">
        <v>893</v>
      </c>
      <c r="C396" s="4" t="s">
        <v>584</v>
      </c>
      <c r="D396" t="s">
        <v>585</v>
      </c>
      <c r="E396" t="s">
        <v>935</v>
      </c>
      <c r="F396" t="str">
        <f t="shared" si="6"/>
        <v>Lapas Kelas Ii A Bengkalis</v>
      </c>
      <c r="G396" t="s">
        <v>975</v>
      </c>
    </row>
    <row r="397" spans="1:7" x14ac:dyDescent="0.25">
      <c r="A397" s="5" t="s">
        <v>441</v>
      </c>
      <c r="B397" s="7" t="s">
        <v>894</v>
      </c>
      <c r="C397" s="4" t="s">
        <v>584</v>
      </c>
      <c r="D397" t="s">
        <v>585</v>
      </c>
      <c r="E397" t="s">
        <v>934</v>
      </c>
      <c r="F397" t="str">
        <f t="shared" si="6"/>
        <v>Rutan Kelas Ii B Siak Sri Indrapura</v>
      </c>
      <c r="G397" t="s">
        <v>975</v>
      </c>
    </row>
    <row r="398" spans="1:7" x14ac:dyDescent="0.25">
      <c r="A398" s="5" t="s">
        <v>442</v>
      </c>
      <c r="B398" s="7" t="s">
        <v>895</v>
      </c>
      <c r="C398" s="4" t="s">
        <v>584</v>
      </c>
      <c r="D398" t="s">
        <v>585</v>
      </c>
      <c r="E398" t="s">
        <v>935</v>
      </c>
      <c r="F398" t="str">
        <f t="shared" si="6"/>
        <v>Lapas Kelas Ii A Bagan Siapi-Api</v>
      </c>
      <c r="G398" t="s">
        <v>975</v>
      </c>
    </row>
    <row r="399" spans="1:7" x14ac:dyDescent="0.25">
      <c r="A399" s="5" t="s">
        <v>443</v>
      </c>
      <c r="B399" s="7" t="s">
        <v>896</v>
      </c>
      <c r="C399" s="4" t="s">
        <v>584</v>
      </c>
      <c r="D399" t="s">
        <v>585</v>
      </c>
      <c r="E399" t="s">
        <v>936</v>
      </c>
      <c r="F399" t="str">
        <f t="shared" si="6"/>
        <v>Rutan Kelas Ii B Rengat</v>
      </c>
      <c r="G399" t="s">
        <v>975</v>
      </c>
    </row>
    <row r="400" spans="1:7" x14ac:dyDescent="0.25">
      <c r="A400" s="5" t="s">
        <v>444</v>
      </c>
      <c r="B400" s="7" t="s">
        <v>897</v>
      </c>
      <c r="C400" s="4" t="s">
        <v>584</v>
      </c>
      <c r="D400" t="s">
        <v>585</v>
      </c>
      <c r="E400" t="s">
        <v>936</v>
      </c>
      <c r="F400" t="str">
        <f t="shared" si="6"/>
        <v>Lapas Kelas Ii A Tembilahan</v>
      </c>
      <c r="G400" t="s">
        <v>975</v>
      </c>
    </row>
    <row r="401" spans="1:7" x14ac:dyDescent="0.25">
      <c r="A401" s="5" t="s">
        <v>445</v>
      </c>
      <c r="B401" s="7" t="s">
        <v>898</v>
      </c>
      <c r="C401" s="4" t="s">
        <v>584</v>
      </c>
      <c r="D401" t="s">
        <v>585</v>
      </c>
      <c r="E401" t="s">
        <v>936</v>
      </c>
      <c r="F401" t="str">
        <f t="shared" si="6"/>
        <v>Lapas Kelas Ii B Teluk Kuantan</v>
      </c>
      <c r="G401" t="s">
        <v>975</v>
      </c>
    </row>
    <row r="402" spans="1:7" x14ac:dyDescent="0.25">
      <c r="A402" s="5" t="s">
        <v>446</v>
      </c>
      <c r="B402" s="7" t="s">
        <v>899</v>
      </c>
      <c r="C402" s="4" t="s">
        <v>584</v>
      </c>
      <c r="D402" t="s">
        <v>585</v>
      </c>
      <c r="E402" t="s">
        <v>935</v>
      </c>
      <c r="F402" t="str">
        <f t="shared" si="6"/>
        <v>Lapas Kelas Ii B Selat Panjang</v>
      </c>
      <c r="G402" t="s">
        <v>975</v>
      </c>
    </row>
    <row r="403" spans="1:7" x14ac:dyDescent="0.25">
      <c r="A403" s="5" t="s">
        <v>447</v>
      </c>
      <c r="B403" s="7" t="s">
        <v>900</v>
      </c>
      <c r="C403" s="4" t="s">
        <v>584</v>
      </c>
      <c r="D403" t="s">
        <v>585</v>
      </c>
      <c r="E403" t="s">
        <v>934</v>
      </c>
      <c r="F403" t="str">
        <f t="shared" si="6"/>
        <v>Lapas Kelas Ii A Bangkinang</v>
      </c>
      <c r="G403" t="s">
        <v>975</v>
      </c>
    </row>
    <row r="404" spans="1:7" x14ac:dyDescent="0.25">
      <c r="A404" s="5" t="s">
        <v>448</v>
      </c>
      <c r="B404" s="7" t="s">
        <v>901</v>
      </c>
      <c r="C404" s="4" t="s">
        <v>584</v>
      </c>
      <c r="D404" t="s">
        <v>585</v>
      </c>
      <c r="E404" t="s">
        <v>934</v>
      </c>
      <c r="F404" t="str">
        <f t="shared" si="6"/>
        <v>Lapas Kelas Ii B Pasir Pangarayan</v>
      </c>
      <c r="G404" t="s">
        <v>975</v>
      </c>
    </row>
    <row r="405" spans="1:7" x14ac:dyDescent="0.25">
      <c r="A405" s="5" t="s">
        <v>449</v>
      </c>
      <c r="B405" s="7" t="s">
        <v>902</v>
      </c>
      <c r="C405" s="4" t="s">
        <v>584</v>
      </c>
      <c r="D405" t="s">
        <v>585</v>
      </c>
      <c r="E405" t="s">
        <v>935</v>
      </c>
      <c r="F405" t="str">
        <f t="shared" si="6"/>
        <v>Rutan Kelas Ii B Dumai</v>
      </c>
      <c r="G405" t="s">
        <v>975</v>
      </c>
    </row>
    <row r="406" spans="1:7" x14ac:dyDescent="0.25">
      <c r="A406" s="5" t="s">
        <v>450</v>
      </c>
      <c r="B406" s="7" t="s">
        <v>805</v>
      </c>
      <c r="C406" s="4" t="s">
        <v>584</v>
      </c>
      <c r="D406" t="s">
        <v>585</v>
      </c>
      <c r="E406" t="s">
        <v>934</v>
      </c>
      <c r="F406" t="str">
        <f t="shared" si="6"/>
        <v>Kanwil Ditjen Pemasyarakatan Riau</v>
      </c>
      <c r="G406" t="s">
        <v>975</v>
      </c>
    </row>
    <row r="407" spans="1:7" x14ac:dyDescent="0.25">
      <c r="A407" s="5" t="s">
        <v>451</v>
      </c>
      <c r="B407" s="7" t="s">
        <v>903</v>
      </c>
      <c r="C407" s="4" t="s">
        <v>584</v>
      </c>
      <c r="D407" t="s">
        <v>585</v>
      </c>
      <c r="E407" t="s">
        <v>934</v>
      </c>
      <c r="F407" t="str">
        <f t="shared" si="6"/>
        <v>Lembaga Pembinaan Khusus Anak Kelas Ii Pekanbaru</v>
      </c>
      <c r="G407" t="s">
        <v>975</v>
      </c>
    </row>
    <row r="408" spans="1:7" x14ac:dyDescent="0.25">
      <c r="A408" s="5" t="s">
        <v>452</v>
      </c>
      <c r="B408" s="7" t="s">
        <v>904</v>
      </c>
      <c r="C408" s="4" t="s">
        <v>584</v>
      </c>
      <c r="D408" t="s">
        <v>585</v>
      </c>
      <c r="E408" t="s">
        <v>934</v>
      </c>
      <c r="F408" t="str">
        <f t="shared" si="6"/>
        <v>Lapas Perempuan Kelas Ii A Pekanbaru</v>
      </c>
      <c r="G408" t="s">
        <v>975</v>
      </c>
    </row>
    <row r="409" spans="1:7" x14ac:dyDescent="0.25">
      <c r="A409" s="5" t="s">
        <v>453</v>
      </c>
      <c r="B409" s="7" t="s">
        <v>905</v>
      </c>
      <c r="C409" s="4" t="s">
        <v>584</v>
      </c>
      <c r="D409" t="s">
        <v>585</v>
      </c>
      <c r="E409" t="s">
        <v>934</v>
      </c>
      <c r="F409" t="str">
        <f t="shared" si="6"/>
        <v>Lapas Narkotika Kelas Ii B Rumbai</v>
      </c>
      <c r="G409" t="s">
        <v>975</v>
      </c>
    </row>
    <row r="410" spans="1:7" x14ac:dyDescent="0.25">
      <c r="A410" s="5" t="s">
        <v>454</v>
      </c>
      <c r="B410" s="7" t="s">
        <v>806</v>
      </c>
      <c r="C410" s="4" t="s">
        <v>584</v>
      </c>
      <c r="D410" t="s">
        <v>585</v>
      </c>
      <c r="E410" t="s">
        <v>934</v>
      </c>
      <c r="F410" t="str">
        <f t="shared" si="6"/>
        <v>Rupbasan Kelas I Pekanbaru</v>
      </c>
      <c r="G410" t="s">
        <v>975</v>
      </c>
    </row>
    <row r="411" spans="1:7" x14ac:dyDescent="0.25">
      <c r="A411" s="5" t="s">
        <v>455</v>
      </c>
      <c r="B411" s="7" t="s">
        <v>906</v>
      </c>
      <c r="C411" s="4" t="s">
        <v>584</v>
      </c>
      <c r="D411" t="s">
        <v>585</v>
      </c>
      <c r="E411" t="s">
        <v>935</v>
      </c>
      <c r="F411" t="str">
        <f t="shared" si="6"/>
        <v>Rupbasan Kelas Ii Bengkalis</v>
      </c>
      <c r="G411" t="s">
        <v>975</v>
      </c>
    </row>
    <row r="412" spans="1:7" x14ac:dyDescent="0.25">
      <c r="A412" s="5" t="s">
        <v>456</v>
      </c>
      <c r="B412" s="7" t="s">
        <v>907</v>
      </c>
      <c r="C412" s="4" t="s">
        <v>584</v>
      </c>
      <c r="D412" t="s">
        <v>585</v>
      </c>
      <c r="E412" t="s">
        <v>936</v>
      </c>
      <c r="F412" t="str">
        <f t="shared" si="6"/>
        <v>Rupbasan Kelas Ii Rengat</v>
      </c>
      <c r="G412" t="s">
        <v>975</v>
      </c>
    </row>
    <row r="413" spans="1:7" x14ac:dyDescent="0.25">
      <c r="A413" s="5" t="s">
        <v>457</v>
      </c>
      <c r="B413" s="7" t="s">
        <v>908</v>
      </c>
      <c r="C413" s="4" t="s">
        <v>584</v>
      </c>
      <c r="D413" t="s">
        <v>585</v>
      </c>
      <c r="E413" t="s">
        <v>934</v>
      </c>
      <c r="F413" t="str">
        <f t="shared" si="6"/>
        <v>Rupbasan Kelas Ii Bangkinang</v>
      </c>
      <c r="G413" t="s">
        <v>975</v>
      </c>
    </row>
    <row r="414" spans="1:7" x14ac:dyDescent="0.25">
      <c r="A414" s="5" t="s">
        <v>458</v>
      </c>
      <c r="B414" s="7" t="s">
        <v>807</v>
      </c>
      <c r="C414" s="4" t="s">
        <v>584</v>
      </c>
      <c r="D414" t="s">
        <v>585</v>
      </c>
      <c r="E414" t="s">
        <v>934</v>
      </c>
      <c r="F414" t="str">
        <f t="shared" si="6"/>
        <v>Rutan Kelas I Pekanbaru</v>
      </c>
      <c r="G414" t="s">
        <v>975</v>
      </c>
    </row>
    <row r="415" spans="1:7" x14ac:dyDescent="0.25">
      <c r="A415" s="5" t="s">
        <v>459</v>
      </c>
      <c r="B415" s="7" t="s">
        <v>69</v>
      </c>
      <c r="C415" s="4" t="s">
        <v>584</v>
      </c>
      <c r="D415" t="s">
        <v>585</v>
      </c>
      <c r="E415" t="s">
        <v>934</v>
      </c>
      <c r="F415" t="str">
        <f t="shared" si="6"/>
        <v>Lapas Terbuka Kelas Iii Rumbai</v>
      </c>
      <c r="G415" t="s">
        <v>975</v>
      </c>
    </row>
    <row r="416" spans="1:7" x14ac:dyDescent="0.25">
      <c r="A416" s="5" t="s">
        <v>460</v>
      </c>
      <c r="B416" s="7" t="s">
        <v>808</v>
      </c>
      <c r="C416" s="4" t="s">
        <v>584</v>
      </c>
      <c r="D416" t="s">
        <v>585</v>
      </c>
      <c r="E416" t="s">
        <v>934</v>
      </c>
      <c r="F416" t="str">
        <f t="shared" si="6"/>
        <v>Kantor Imigrasi Kelas I Tpi Pekanbaru</v>
      </c>
      <c r="G416" t="s">
        <v>975</v>
      </c>
    </row>
    <row r="417" spans="1:7" x14ac:dyDescent="0.25">
      <c r="A417" s="5" t="s">
        <v>461</v>
      </c>
      <c r="B417" s="7" t="s">
        <v>909</v>
      </c>
      <c r="C417" s="4" t="s">
        <v>584</v>
      </c>
      <c r="D417" t="s">
        <v>585</v>
      </c>
      <c r="E417" t="s">
        <v>935</v>
      </c>
      <c r="F417" t="str">
        <f t="shared" si="6"/>
        <v>Kantor Imigrasi Kelas Ii Tpi Bengkalis</v>
      </c>
      <c r="G417" t="s">
        <v>975</v>
      </c>
    </row>
    <row r="418" spans="1:7" x14ac:dyDescent="0.25">
      <c r="A418" s="5" t="s">
        <v>462</v>
      </c>
      <c r="B418" s="7" t="s">
        <v>809</v>
      </c>
      <c r="C418" s="4" t="s">
        <v>584</v>
      </c>
      <c r="D418" t="s">
        <v>585</v>
      </c>
      <c r="E418" t="s">
        <v>935</v>
      </c>
      <c r="F418" t="str">
        <f t="shared" si="6"/>
        <v>Kantor Imigrasi Kelas I Tpi Dumai</v>
      </c>
      <c r="G418" t="s">
        <v>975</v>
      </c>
    </row>
    <row r="419" spans="1:7" x14ac:dyDescent="0.25">
      <c r="A419" s="5" t="s">
        <v>463</v>
      </c>
      <c r="B419" s="7" t="s">
        <v>910</v>
      </c>
      <c r="C419" s="4" t="s">
        <v>584</v>
      </c>
      <c r="D419" t="s">
        <v>585</v>
      </c>
      <c r="E419" t="s">
        <v>935</v>
      </c>
      <c r="F419" t="str">
        <f t="shared" si="6"/>
        <v>Kantor Imigrasi Kelas Ii Tpi Bagan Siapiapi</v>
      </c>
      <c r="G419" t="s">
        <v>975</v>
      </c>
    </row>
    <row r="420" spans="1:7" x14ac:dyDescent="0.25">
      <c r="A420" s="5" t="s">
        <v>464</v>
      </c>
      <c r="B420" s="7" t="s">
        <v>911</v>
      </c>
      <c r="C420" s="4" t="s">
        <v>584</v>
      </c>
      <c r="D420" t="s">
        <v>585</v>
      </c>
      <c r="E420" t="s">
        <v>936</v>
      </c>
      <c r="F420" t="str">
        <f t="shared" si="6"/>
        <v>Kantor Imigrasi Kelas Ii Tpi Tembilahan</v>
      </c>
      <c r="G420" t="s">
        <v>975</v>
      </c>
    </row>
    <row r="421" spans="1:7" x14ac:dyDescent="0.25">
      <c r="A421" s="5" t="s">
        <v>465</v>
      </c>
      <c r="B421" s="7" t="s">
        <v>912</v>
      </c>
      <c r="C421" s="4" t="s">
        <v>584</v>
      </c>
      <c r="D421" t="s">
        <v>585</v>
      </c>
      <c r="E421" t="s">
        <v>935</v>
      </c>
      <c r="F421" t="str">
        <f t="shared" si="6"/>
        <v>Kantor Imigrasi Kelas Ii Tpi Selat Panjang</v>
      </c>
      <c r="G421" t="s">
        <v>975</v>
      </c>
    </row>
    <row r="422" spans="1:7" x14ac:dyDescent="0.25">
      <c r="A422" s="5" t="s">
        <v>466</v>
      </c>
      <c r="B422" s="7" t="s">
        <v>810</v>
      </c>
      <c r="C422" s="4" t="s">
        <v>584</v>
      </c>
      <c r="D422" t="s">
        <v>585</v>
      </c>
      <c r="E422" t="s">
        <v>934</v>
      </c>
      <c r="F422" t="str">
        <f t="shared" si="6"/>
        <v>Kanwil Ditjen Imigrasi Riau</v>
      </c>
      <c r="G422" t="s">
        <v>975</v>
      </c>
    </row>
    <row r="423" spans="1:7" x14ac:dyDescent="0.25">
      <c r="A423" s="5" t="s">
        <v>467</v>
      </c>
      <c r="B423" s="7" t="s">
        <v>913</v>
      </c>
      <c r="C423" s="4" t="s">
        <v>584</v>
      </c>
      <c r="D423" t="s">
        <v>585</v>
      </c>
      <c r="E423" t="s">
        <v>934</v>
      </c>
      <c r="F423" t="str">
        <f t="shared" si="6"/>
        <v>Kantor Imigrasi Kelas Ii Tpi Siak</v>
      </c>
      <c r="G423" t="s">
        <v>975</v>
      </c>
    </row>
    <row r="424" spans="1:7" x14ac:dyDescent="0.25">
      <c r="A424" s="5" t="s">
        <v>468</v>
      </c>
      <c r="B424" s="7" t="s">
        <v>811</v>
      </c>
      <c r="C424" s="4" t="s">
        <v>584</v>
      </c>
      <c r="D424" t="s">
        <v>585</v>
      </c>
      <c r="E424" t="s">
        <v>934</v>
      </c>
      <c r="F424" t="str">
        <f t="shared" si="6"/>
        <v>Rumah Detensi Imigrasi Pekanbaru</v>
      </c>
      <c r="G424" t="s">
        <v>975</v>
      </c>
    </row>
    <row r="425" spans="1:7" x14ac:dyDescent="0.25">
      <c r="A425" s="5" t="s">
        <v>475</v>
      </c>
      <c r="B425" s="7" t="s">
        <v>925</v>
      </c>
      <c r="C425" s="4" t="s">
        <v>590</v>
      </c>
      <c r="D425" t="s">
        <v>591</v>
      </c>
      <c r="E425" t="s">
        <v>934</v>
      </c>
      <c r="F425" t="str">
        <f t="shared" si="6"/>
        <v>Bpmp Provinsi Riau</v>
      </c>
      <c r="G425" t="s">
        <v>976</v>
      </c>
    </row>
    <row r="426" spans="1:7" x14ac:dyDescent="0.25">
      <c r="A426" s="5" t="s">
        <v>476</v>
      </c>
      <c r="B426" s="7" t="s">
        <v>813</v>
      </c>
      <c r="C426" s="4" t="s">
        <v>590</v>
      </c>
      <c r="D426" t="s">
        <v>591</v>
      </c>
      <c r="E426" t="s">
        <v>934</v>
      </c>
      <c r="F426" t="str">
        <f t="shared" si="6"/>
        <v>Balai Bahasa Riau</v>
      </c>
      <c r="G426" t="s">
        <v>976</v>
      </c>
    </row>
    <row r="427" spans="1:7" x14ac:dyDescent="0.25">
      <c r="A427" s="5" t="s">
        <v>477</v>
      </c>
      <c r="B427" s="7" t="s">
        <v>926</v>
      </c>
      <c r="C427" s="4" t="s">
        <v>590</v>
      </c>
      <c r="D427" t="s">
        <v>591</v>
      </c>
      <c r="E427" t="s">
        <v>934</v>
      </c>
      <c r="F427" t="str">
        <f t="shared" si="6"/>
        <v>Bgp Provinsi Riau</v>
      </c>
      <c r="G427" t="s">
        <v>976</v>
      </c>
    </row>
    <row r="428" spans="1:7" x14ac:dyDescent="0.25">
      <c r="A428" s="5" t="s">
        <v>474</v>
      </c>
      <c r="B428" s="7" t="s">
        <v>924</v>
      </c>
      <c r="C428" s="4" t="s">
        <v>588</v>
      </c>
      <c r="D428" t="s">
        <v>589</v>
      </c>
      <c r="E428" t="s">
        <v>934</v>
      </c>
      <c r="F428" t="str">
        <f t="shared" si="6"/>
        <v>Lembaga Layanan Pendidikan Tinggi Wilayah Xvii Riau</v>
      </c>
      <c r="G428" t="s">
        <v>977</v>
      </c>
    </row>
    <row r="429" spans="1:7" x14ac:dyDescent="0.25">
      <c r="A429" s="5" t="s">
        <v>478</v>
      </c>
      <c r="B429" s="7" t="s">
        <v>814</v>
      </c>
      <c r="C429" s="4" t="s">
        <v>588</v>
      </c>
      <c r="D429" t="s">
        <v>589</v>
      </c>
      <c r="E429" t="s">
        <v>934</v>
      </c>
      <c r="F429" t="str">
        <f t="shared" si="6"/>
        <v>Universitas Riau</v>
      </c>
      <c r="G429" t="s">
        <v>977</v>
      </c>
    </row>
    <row r="430" spans="1:7" x14ac:dyDescent="0.25">
      <c r="A430" s="5" t="s">
        <v>479</v>
      </c>
      <c r="B430" s="7" t="s">
        <v>815</v>
      </c>
      <c r="C430" s="4" t="s">
        <v>588</v>
      </c>
      <c r="D430" t="s">
        <v>589</v>
      </c>
      <c r="E430" t="s">
        <v>935</v>
      </c>
      <c r="F430" t="str">
        <f t="shared" si="6"/>
        <v>Politeknik Negeri Bengkalis</v>
      </c>
      <c r="G430" t="s">
        <v>977</v>
      </c>
    </row>
    <row r="431" spans="1:7" x14ac:dyDescent="0.25">
      <c r="A431" s="5" t="s">
        <v>481</v>
      </c>
      <c r="B431" s="7" t="s">
        <v>927</v>
      </c>
      <c r="C431" s="4" t="s">
        <v>594</v>
      </c>
      <c r="D431" t="s">
        <v>595</v>
      </c>
      <c r="E431" t="s">
        <v>934</v>
      </c>
      <c r="F431" t="str">
        <f t="shared" si="6"/>
        <v>Balai Pengelolaan Hutan Lestari Wilayah Iii Pekanbaru</v>
      </c>
      <c r="G431" t="s">
        <v>950</v>
      </c>
    </row>
    <row r="432" spans="1:7" x14ac:dyDescent="0.25">
      <c r="A432" s="5" t="s">
        <v>482</v>
      </c>
      <c r="B432" s="7" t="s">
        <v>817</v>
      </c>
      <c r="C432" s="4" t="s">
        <v>594</v>
      </c>
      <c r="D432" t="s">
        <v>595</v>
      </c>
      <c r="E432" t="s">
        <v>934</v>
      </c>
      <c r="F432" t="str">
        <f t="shared" si="6"/>
        <v>Balai Pengelolaan Daerah Aliran Sungai Indragiri Rokan</v>
      </c>
      <c r="G432" t="s">
        <v>950</v>
      </c>
    </row>
    <row r="433" spans="1:7" x14ac:dyDescent="0.25">
      <c r="A433" s="5" t="s">
        <v>483</v>
      </c>
      <c r="B433" s="7" t="s">
        <v>818</v>
      </c>
      <c r="C433" s="4" t="s">
        <v>594</v>
      </c>
      <c r="D433" t="s">
        <v>595</v>
      </c>
      <c r="E433" t="s">
        <v>934</v>
      </c>
      <c r="F433" t="str">
        <f t="shared" si="6"/>
        <v>Balai Besar Konservasi Sumber Daya Alam Riau</v>
      </c>
      <c r="G433" t="s">
        <v>950</v>
      </c>
    </row>
    <row r="434" spans="1:7" x14ac:dyDescent="0.25">
      <c r="A434" s="5" t="s">
        <v>484</v>
      </c>
      <c r="B434" s="7" t="s">
        <v>819</v>
      </c>
      <c r="C434" s="4" t="s">
        <v>594</v>
      </c>
      <c r="D434" t="s">
        <v>595</v>
      </c>
      <c r="E434" t="s">
        <v>934</v>
      </c>
      <c r="F434" t="str">
        <f t="shared" si="6"/>
        <v>Balai Taman Nasional Tesso Nilo</v>
      </c>
      <c r="G434" t="s">
        <v>950</v>
      </c>
    </row>
    <row r="435" spans="1:7" x14ac:dyDescent="0.25">
      <c r="A435" s="5" t="s">
        <v>485</v>
      </c>
      <c r="B435" s="7" t="s">
        <v>820</v>
      </c>
      <c r="C435" s="4" t="s">
        <v>594</v>
      </c>
      <c r="D435" t="s">
        <v>595</v>
      </c>
      <c r="E435" t="s">
        <v>936</v>
      </c>
      <c r="F435" t="str">
        <f t="shared" si="6"/>
        <v>Balai Taman Nasional Bukit Tiga Puluh</v>
      </c>
      <c r="G435" t="s">
        <v>950</v>
      </c>
    </row>
    <row r="436" spans="1:7" x14ac:dyDescent="0.25">
      <c r="A436" s="5" t="s">
        <v>486</v>
      </c>
      <c r="B436" s="7" t="s">
        <v>928</v>
      </c>
      <c r="C436" s="4" t="s">
        <v>594</v>
      </c>
      <c r="D436" t="s">
        <v>595</v>
      </c>
      <c r="E436" t="s">
        <v>934</v>
      </c>
      <c r="F436" t="str">
        <f t="shared" si="6"/>
        <v>Balai Pemantapan Kawasan Hutan Wilayah Xix Pekanbaru</v>
      </c>
      <c r="G436" t="s">
        <v>950</v>
      </c>
    </row>
    <row r="437" spans="1:7" x14ac:dyDescent="0.25">
      <c r="A437" s="5" t="s">
        <v>487</v>
      </c>
      <c r="B437" s="7" t="s">
        <v>858</v>
      </c>
      <c r="C437" s="4" t="s">
        <v>594</v>
      </c>
      <c r="D437" t="s">
        <v>595</v>
      </c>
      <c r="E437" t="s">
        <v>934</v>
      </c>
      <c r="F437" t="str">
        <f t="shared" si="6"/>
        <v>Balai Penyuluhan Dan Pelatihan Kehutanan Pekanbaru</v>
      </c>
      <c r="G437" t="s">
        <v>950</v>
      </c>
    </row>
    <row r="438" spans="1:7" x14ac:dyDescent="0.25">
      <c r="A438" s="5" t="s">
        <v>488</v>
      </c>
      <c r="B438" s="7" t="s">
        <v>821</v>
      </c>
      <c r="C438" s="4" t="s">
        <v>594</v>
      </c>
      <c r="D438" t="s">
        <v>595</v>
      </c>
      <c r="E438" t="s">
        <v>934</v>
      </c>
      <c r="F438" t="str">
        <f t="shared" si="6"/>
        <v>Sekolah Menengah Kejuruan Kehutanan Negeri Pekanbaru</v>
      </c>
      <c r="G438" t="s">
        <v>950</v>
      </c>
    </row>
    <row r="439" spans="1:7" x14ac:dyDescent="0.25">
      <c r="A439" s="5" t="s">
        <v>480</v>
      </c>
      <c r="B439" s="7" t="s">
        <v>816</v>
      </c>
      <c r="C439" s="4" t="s">
        <v>592</v>
      </c>
      <c r="D439" t="s">
        <v>593</v>
      </c>
      <c r="E439" t="s">
        <v>934</v>
      </c>
      <c r="F439" t="str">
        <f t="shared" si="6"/>
        <v>Pusat Pengendalian Lingkungan Hidup Wilayah Sumatera</v>
      </c>
      <c r="G439" t="s">
        <v>978</v>
      </c>
    </row>
    <row r="440" spans="1:7" x14ac:dyDescent="0.25">
      <c r="A440" s="5" t="s">
        <v>489</v>
      </c>
      <c r="B440" s="7" t="s">
        <v>87</v>
      </c>
      <c r="C440" s="4" t="s">
        <v>596</v>
      </c>
      <c r="D440" t="s">
        <v>597</v>
      </c>
      <c r="E440" t="s">
        <v>934</v>
      </c>
      <c r="F440" t="str">
        <f t="shared" si="6"/>
        <v>Dinas Pekerjaan Umum Dan Penataan Ruang Provinsi Riau</v>
      </c>
      <c r="G440" t="s">
        <v>979</v>
      </c>
    </row>
    <row r="441" spans="1:7" x14ac:dyDescent="0.25">
      <c r="A441" s="5" t="s">
        <v>490</v>
      </c>
      <c r="B441" s="7" t="s">
        <v>822</v>
      </c>
      <c r="C441" s="4" t="s">
        <v>596</v>
      </c>
      <c r="D441" t="s">
        <v>597</v>
      </c>
      <c r="E441" t="s">
        <v>934</v>
      </c>
      <c r="F441" t="str">
        <f t="shared" si="6"/>
        <v>Balai Pelaksanaan Jalan Nasional Riau</v>
      </c>
      <c r="G441" t="s">
        <v>979</v>
      </c>
    </row>
    <row r="442" spans="1:7" x14ac:dyDescent="0.25">
      <c r="A442" s="5" t="s">
        <v>491</v>
      </c>
      <c r="B442" s="7" t="s">
        <v>63</v>
      </c>
      <c r="C442" s="4" t="s">
        <v>596</v>
      </c>
      <c r="D442" t="s">
        <v>597</v>
      </c>
      <c r="E442" t="s">
        <v>934</v>
      </c>
      <c r="F442" t="str">
        <f t="shared" si="6"/>
        <v>Perencanaan Dan Pengawasan Jalan Nasional Provinsi Riau</v>
      </c>
      <c r="G442" t="s">
        <v>979</v>
      </c>
    </row>
    <row r="443" spans="1:7" x14ac:dyDescent="0.25">
      <c r="A443" s="5" t="s">
        <v>492</v>
      </c>
      <c r="B443" s="7" t="s">
        <v>823</v>
      </c>
      <c r="C443" s="4" t="s">
        <v>596</v>
      </c>
      <c r="D443" t="s">
        <v>597</v>
      </c>
      <c r="E443" t="s">
        <v>934</v>
      </c>
      <c r="F443" t="str">
        <f t="shared" si="6"/>
        <v>Pelaksanaan Jalan Nasional Wilayah I Provinsi Riau</v>
      </c>
      <c r="G443" t="s">
        <v>979</v>
      </c>
    </row>
    <row r="444" spans="1:7" x14ac:dyDescent="0.25">
      <c r="A444" s="5" t="s">
        <v>493</v>
      </c>
      <c r="B444" s="7" t="s">
        <v>914</v>
      </c>
      <c r="C444" s="4" t="s">
        <v>596</v>
      </c>
      <c r="D444" t="s">
        <v>597</v>
      </c>
      <c r="E444" t="s">
        <v>934</v>
      </c>
      <c r="F444" t="str">
        <f t="shared" si="6"/>
        <v>Pelaksanaan Jalan Nasional Wilayah Ii Provinsi Riau</v>
      </c>
      <c r="G444" t="s">
        <v>979</v>
      </c>
    </row>
    <row r="445" spans="1:7" x14ac:dyDescent="0.25">
      <c r="A445" s="5" t="s">
        <v>494</v>
      </c>
      <c r="B445" s="7" t="s">
        <v>824</v>
      </c>
      <c r="C445" s="4" t="s">
        <v>596</v>
      </c>
      <c r="D445" t="s">
        <v>597</v>
      </c>
      <c r="E445" t="s">
        <v>934</v>
      </c>
      <c r="F445" t="str">
        <f t="shared" si="6"/>
        <v>Balai Prasarana Permukiman Wilayah Riau</v>
      </c>
      <c r="G445" t="s">
        <v>979</v>
      </c>
    </row>
    <row r="446" spans="1:7" x14ac:dyDescent="0.25">
      <c r="A446" s="5" t="s">
        <v>495</v>
      </c>
      <c r="B446" s="7" t="s">
        <v>981</v>
      </c>
      <c r="C446" s="4" t="s">
        <v>596</v>
      </c>
      <c r="D446" t="s">
        <v>597</v>
      </c>
      <c r="E446" t="s">
        <v>934</v>
      </c>
      <c r="F446" t="str">
        <f t="shared" si="6"/>
        <v>Pelaksanaan Cipta Karya Provinsi Riau</v>
      </c>
      <c r="G446" t="s">
        <v>979</v>
      </c>
    </row>
    <row r="447" spans="1:7" x14ac:dyDescent="0.25">
      <c r="A447" s="5" t="s">
        <v>496</v>
      </c>
      <c r="B447" s="7" t="s">
        <v>859</v>
      </c>
      <c r="C447" s="4" t="s">
        <v>596</v>
      </c>
      <c r="D447" t="s">
        <v>597</v>
      </c>
      <c r="E447" t="s">
        <v>934</v>
      </c>
      <c r="F447" t="str">
        <f t="shared" si="6"/>
        <v>Dinas Pekerjaan Umum, Penataan Ruang, Perumahan, Kawasan Permukiman Dan Pertanahan Provinsi Riau</v>
      </c>
      <c r="G447" t="s">
        <v>979</v>
      </c>
    </row>
    <row r="448" spans="1:7" x14ac:dyDescent="0.25">
      <c r="A448" s="5" t="s">
        <v>497</v>
      </c>
      <c r="B448" s="7" t="s">
        <v>425</v>
      </c>
      <c r="C448" s="4" t="s">
        <v>596</v>
      </c>
      <c r="D448" t="s">
        <v>597</v>
      </c>
      <c r="E448" t="s">
        <v>934</v>
      </c>
      <c r="F448" t="str">
        <f t="shared" si="6"/>
        <v>Operasi Dan Pemeliharaan Sumber Daya Air Sumatera Iii</v>
      </c>
      <c r="G448" t="s">
        <v>979</v>
      </c>
    </row>
    <row r="449" spans="1:7" x14ac:dyDescent="0.25">
      <c r="A449" s="5" t="s">
        <v>498</v>
      </c>
      <c r="B449" s="7" t="s">
        <v>426</v>
      </c>
      <c r="C449" s="4" t="s">
        <v>596</v>
      </c>
      <c r="D449" t="s">
        <v>597</v>
      </c>
      <c r="E449" t="s">
        <v>934</v>
      </c>
      <c r="F449" t="str">
        <f t="shared" si="6"/>
        <v>Snvt Pelaksanaan Jaringan Sumber Air Sumatera Iii Provinsi Riau</v>
      </c>
      <c r="G449" t="s">
        <v>979</v>
      </c>
    </row>
    <row r="450" spans="1:7" x14ac:dyDescent="0.25">
      <c r="A450" s="5" t="s">
        <v>499</v>
      </c>
      <c r="B450" s="7" t="s">
        <v>61</v>
      </c>
      <c r="C450" s="4" t="s">
        <v>596</v>
      </c>
      <c r="D450" t="s">
        <v>597</v>
      </c>
      <c r="E450" t="s">
        <v>934</v>
      </c>
      <c r="F450" t="str">
        <f t="shared" ref="F450:F470" si="7">PROPER(B450)</f>
        <v>Snvt Pelaksanaan Jaringan Pemanfaatan Air Sumatera Iii Provinsi Riau</v>
      </c>
      <c r="G450" t="s">
        <v>979</v>
      </c>
    </row>
    <row r="451" spans="1:7" x14ac:dyDescent="0.25">
      <c r="A451" s="5" t="s">
        <v>500</v>
      </c>
      <c r="B451" s="7" t="s">
        <v>424</v>
      </c>
      <c r="C451" s="4" t="s">
        <v>596</v>
      </c>
      <c r="D451" t="s">
        <v>597</v>
      </c>
      <c r="E451" t="s">
        <v>934</v>
      </c>
      <c r="F451" t="str">
        <f t="shared" si="7"/>
        <v>Balai Wilayah Sungai Sumatera Iii</v>
      </c>
      <c r="G451" t="s">
        <v>979</v>
      </c>
    </row>
    <row r="452" spans="1:7" x14ac:dyDescent="0.25">
      <c r="A452" s="5" t="s">
        <v>501</v>
      </c>
      <c r="B452" s="7" t="s">
        <v>825</v>
      </c>
      <c r="C452" s="4" t="s">
        <v>596</v>
      </c>
      <c r="D452" t="s">
        <v>597</v>
      </c>
      <c r="E452" t="s">
        <v>934</v>
      </c>
      <c r="F452" t="str">
        <f t="shared" si="7"/>
        <v>Balai Pelaksana Pemilihan Jasa Konstruksi Wilayah Riau</v>
      </c>
      <c r="G452" t="s">
        <v>979</v>
      </c>
    </row>
    <row r="453" spans="1:7" x14ac:dyDescent="0.25">
      <c r="A453" s="5" t="s">
        <v>502</v>
      </c>
      <c r="B453" s="7" t="s">
        <v>860</v>
      </c>
      <c r="C453" s="4" t="s">
        <v>598</v>
      </c>
      <c r="D453" t="s">
        <v>599</v>
      </c>
      <c r="E453" t="s">
        <v>934</v>
      </c>
      <c r="F453" t="str">
        <f t="shared" si="7"/>
        <v>Balai Pelatihan Dan Pemberdayaan Masyarakat Desa Dan Daerah Tertinggal Pekanbaru</v>
      </c>
      <c r="G453" t="s">
        <v>980</v>
      </c>
    </row>
    <row r="454" spans="1:7" x14ac:dyDescent="0.25">
      <c r="A454" s="5" t="s">
        <v>429</v>
      </c>
      <c r="B454" s="7" t="s">
        <v>865</v>
      </c>
      <c r="C454" s="4" t="s">
        <v>564</v>
      </c>
      <c r="D454" t="s">
        <v>565</v>
      </c>
      <c r="E454" t="s">
        <v>936</v>
      </c>
      <c r="F454" t="str">
        <f t="shared" si="7"/>
        <v>Kppn Rengat Penyalur Dana Transfer Umum</v>
      </c>
    </row>
    <row r="455" spans="1:7" x14ac:dyDescent="0.25">
      <c r="A455" s="5" t="s">
        <v>430</v>
      </c>
      <c r="B455" s="7" t="s">
        <v>866</v>
      </c>
      <c r="C455" s="4" t="s">
        <v>564</v>
      </c>
      <c r="D455" t="s">
        <v>565</v>
      </c>
      <c r="E455" t="s">
        <v>934</v>
      </c>
      <c r="F455" t="str">
        <f t="shared" si="7"/>
        <v>Kppn Pekanbaru Penyalur Dana Transfer Umum</v>
      </c>
    </row>
    <row r="456" spans="1:7" x14ac:dyDescent="0.25">
      <c r="A456" s="5" t="s">
        <v>431</v>
      </c>
      <c r="B456" s="7" t="s">
        <v>867</v>
      </c>
      <c r="C456" s="4" t="s">
        <v>564</v>
      </c>
      <c r="D456" t="s">
        <v>565</v>
      </c>
      <c r="E456" t="s">
        <v>935</v>
      </c>
      <c r="F456" t="str">
        <f t="shared" si="7"/>
        <v>Kppn Dumai Penyalur Dana Transfer Umum</v>
      </c>
    </row>
    <row r="457" spans="1:7" x14ac:dyDescent="0.25">
      <c r="A457" s="5" t="s">
        <v>432</v>
      </c>
      <c r="B457" s="7" t="s">
        <v>868</v>
      </c>
      <c r="C457" s="4" t="s">
        <v>564</v>
      </c>
      <c r="D457" t="s">
        <v>565</v>
      </c>
      <c r="E457" t="s">
        <v>936</v>
      </c>
      <c r="F457" t="str">
        <f t="shared" si="7"/>
        <v>Kppn Rengat Penyalur Dana Transfer Khusus</v>
      </c>
    </row>
    <row r="458" spans="1:7" x14ac:dyDescent="0.25">
      <c r="A458" s="5" t="s">
        <v>433</v>
      </c>
      <c r="B458" s="7" t="s">
        <v>869</v>
      </c>
      <c r="C458" s="4" t="s">
        <v>564</v>
      </c>
      <c r="D458" t="s">
        <v>565</v>
      </c>
      <c r="E458" t="s">
        <v>934</v>
      </c>
      <c r="F458" t="str">
        <f t="shared" si="7"/>
        <v>Kppn Pekanbaru Penyalur Dana Transfer Khusus</v>
      </c>
    </row>
    <row r="459" spans="1:7" x14ac:dyDescent="0.25">
      <c r="A459" s="5" t="s">
        <v>434</v>
      </c>
      <c r="B459" s="7" t="s">
        <v>870</v>
      </c>
      <c r="C459" s="4" t="s">
        <v>564</v>
      </c>
      <c r="D459" t="s">
        <v>565</v>
      </c>
      <c r="E459" t="s">
        <v>935</v>
      </c>
      <c r="F459" t="str">
        <f t="shared" si="7"/>
        <v>Kppn Dumai Penyalur Dana Transfer Khusus</v>
      </c>
    </row>
    <row r="460" spans="1:7" x14ac:dyDescent="0.25">
      <c r="A460" s="5" t="s">
        <v>503</v>
      </c>
      <c r="B460" s="7" t="s">
        <v>871</v>
      </c>
      <c r="C460" s="4" t="s">
        <v>564</v>
      </c>
      <c r="D460" t="s">
        <v>565</v>
      </c>
      <c r="E460" t="s">
        <v>936</v>
      </c>
      <c r="F460" t="str">
        <f t="shared" si="7"/>
        <v>Kppn Rengat Penyalur Dana Desa, Insentif Fiskal, Otonomi Khusus Dan Keistimewaan</v>
      </c>
    </row>
    <row r="461" spans="1:7" x14ac:dyDescent="0.25">
      <c r="A461" s="5" t="s">
        <v>504</v>
      </c>
      <c r="B461" s="7" t="s">
        <v>872</v>
      </c>
      <c r="C461" s="4" t="s">
        <v>564</v>
      </c>
      <c r="D461" t="s">
        <v>565</v>
      </c>
      <c r="E461" t="s">
        <v>934</v>
      </c>
      <c r="F461" t="str">
        <f t="shared" si="7"/>
        <v>Kppn Pekanbaru Penyalur Dana Desa, Insentif Fiskal, Otonomi Khusus Dan Keistimewaan</v>
      </c>
    </row>
    <row r="462" spans="1:7" x14ac:dyDescent="0.25">
      <c r="A462" s="5" t="s">
        <v>505</v>
      </c>
      <c r="B462" s="7" t="s">
        <v>873</v>
      </c>
      <c r="C462" s="4" t="s">
        <v>564</v>
      </c>
      <c r="D462" t="s">
        <v>565</v>
      </c>
      <c r="E462" t="s">
        <v>935</v>
      </c>
      <c r="F462" t="str">
        <f t="shared" si="7"/>
        <v>Kppn Dumai Penyalur Dana Desa, Insentif Fiskal, Otonomi Khusus Dan Keistimewaan</v>
      </c>
    </row>
    <row r="463" spans="1:7" x14ac:dyDescent="0.25">
      <c r="A463" s="5" t="s">
        <v>982</v>
      </c>
      <c r="B463" s="7" t="s">
        <v>983</v>
      </c>
      <c r="C463" s="14">
        <v>146</v>
      </c>
      <c r="D463" t="s">
        <v>931</v>
      </c>
      <c r="E463" t="s">
        <v>934</v>
      </c>
      <c r="F463" t="str">
        <f t="shared" si="7"/>
        <v>Perumahan Dan Kawasan Permukiman Provinsi Riau</v>
      </c>
      <c r="G463" t="s">
        <v>984</v>
      </c>
    </row>
    <row r="464" spans="1:7" x14ac:dyDescent="0.25">
      <c r="A464" s="5" t="s">
        <v>986</v>
      </c>
      <c r="B464" s="7" t="s">
        <v>983</v>
      </c>
      <c r="C464" s="14">
        <v>146</v>
      </c>
      <c r="D464" t="s">
        <v>931</v>
      </c>
      <c r="E464" t="s">
        <v>934</v>
      </c>
      <c r="F464" t="str">
        <f t="shared" si="7"/>
        <v>Perumahan Dan Kawasan Permukiman Provinsi Riau</v>
      </c>
      <c r="G464" t="s">
        <v>984</v>
      </c>
    </row>
    <row r="465" spans="1:7" x14ac:dyDescent="0.25">
      <c r="A465" s="5" t="s">
        <v>987</v>
      </c>
      <c r="B465" t="s">
        <v>992</v>
      </c>
      <c r="C465" s="14">
        <v>146</v>
      </c>
      <c r="D465" t="s">
        <v>931</v>
      </c>
      <c r="E465" t="s">
        <v>934</v>
      </c>
      <c r="F465" t="str">
        <f t="shared" si="7"/>
        <v>Balai Pelaksana Penyediaan Perumahan Dan Kawasan Permukiman Sumatera Iii</v>
      </c>
      <c r="G465" t="s">
        <v>984</v>
      </c>
    </row>
    <row r="466" spans="1:7" x14ac:dyDescent="0.25">
      <c r="A466" s="5" t="s">
        <v>988</v>
      </c>
      <c r="B466" t="s">
        <v>992</v>
      </c>
      <c r="C466" s="14">
        <v>146</v>
      </c>
      <c r="D466" t="s">
        <v>931</v>
      </c>
      <c r="E466" t="s">
        <v>934</v>
      </c>
      <c r="F466" t="str">
        <f t="shared" si="7"/>
        <v>Balai Pelaksana Penyediaan Perumahan Dan Kawasan Permukiman Sumatera Iii</v>
      </c>
      <c r="G466" t="s">
        <v>984</v>
      </c>
    </row>
    <row r="467" spans="1:7" x14ac:dyDescent="0.25">
      <c r="A467" s="5" t="s">
        <v>989</v>
      </c>
      <c r="B467" t="s">
        <v>992</v>
      </c>
      <c r="C467" s="14">
        <v>146</v>
      </c>
      <c r="D467" t="s">
        <v>931</v>
      </c>
      <c r="E467" t="s">
        <v>934</v>
      </c>
      <c r="F467" t="str">
        <f t="shared" si="7"/>
        <v>Balai Pelaksana Penyediaan Perumahan Dan Kawasan Permukiman Sumatera Iii</v>
      </c>
      <c r="G467" t="s">
        <v>984</v>
      </c>
    </row>
    <row r="468" spans="1:7" x14ac:dyDescent="0.25">
      <c r="A468" s="5" t="s">
        <v>990</v>
      </c>
      <c r="B468" t="s">
        <v>992</v>
      </c>
      <c r="C468" s="14">
        <v>146</v>
      </c>
      <c r="D468" t="s">
        <v>931</v>
      </c>
      <c r="E468" t="s">
        <v>934</v>
      </c>
      <c r="F468" t="str">
        <f t="shared" si="7"/>
        <v>Balai Pelaksana Penyediaan Perumahan Dan Kawasan Permukiman Sumatera Iii</v>
      </c>
      <c r="G468" t="s">
        <v>984</v>
      </c>
    </row>
    <row r="469" spans="1:7" x14ac:dyDescent="0.25">
      <c r="A469" s="5" t="s">
        <v>991</v>
      </c>
      <c r="B469" t="s">
        <v>992</v>
      </c>
      <c r="C469" s="14">
        <v>146</v>
      </c>
      <c r="D469" t="s">
        <v>931</v>
      </c>
      <c r="E469" t="s">
        <v>934</v>
      </c>
      <c r="F469" t="str">
        <f t="shared" si="7"/>
        <v>Balai Pelaksana Penyediaan Perumahan Dan Kawasan Permukiman Sumatera Iii</v>
      </c>
      <c r="G469" t="s">
        <v>984</v>
      </c>
    </row>
    <row r="470" spans="1:7" x14ac:dyDescent="0.25">
      <c r="A470" s="5" t="s">
        <v>993</v>
      </c>
      <c r="B470" t="s">
        <v>720</v>
      </c>
      <c r="C470" s="14">
        <v>59</v>
      </c>
      <c r="D470" t="s">
        <v>994</v>
      </c>
      <c r="E470" t="s">
        <v>934</v>
      </c>
      <c r="F470" t="str">
        <f t="shared" si="7"/>
        <v>Balai Monitor Spektrum Frekuensi Radio Kelas I Pekanbaru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</vt:lpstr>
      <vt:lpstr>refsatker2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Dicky Priatama</dc:creator>
  <cp:lastModifiedBy>Michael Amstrong Sidabutar</cp:lastModifiedBy>
  <dcterms:created xsi:type="dcterms:W3CDTF">2024-07-10T11:26:40Z</dcterms:created>
  <dcterms:modified xsi:type="dcterms:W3CDTF">2026-02-13T02:20:48Z</dcterms:modified>
</cp:coreProperties>
</file>